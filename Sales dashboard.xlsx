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preve\Downloads\"/>
    </mc:Choice>
  </mc:AlternateContent>
  <xr:revisionPtr revIDLastSave="0" documentId="8_{3D25C259-4A75-4882-A8CE-4E59C84953CF}" xr6:coauthVersionLast="47" xr6:coauthVersionMax="47" xr10:uidLastSave="{00000000-0000-0000-0000-000000000000}"/>
  <bookViews>
    <workbookView xWindow="-108" yWindow="-108" windowWidth="23256" windowHeight="13176" activeTab="1" xr2:uid="{00000000-000D-0000-FFFF-FFFF00000000}"/>
  </bookViews>
  <sheets>
    <sheet name="pivot table" sheetId="2" r:id="rId1"/>
    <sheet name="dashboard" sheetId="3" r:id="rId2"/>
    <sheet name="Sheet1" sheetId="1" r:id="rId3"/>
  </sheets>
  <definedNames>
    <definedName name="Slicer_Product_Category">#N/A</definedName>
    <definedName name="Slicer_Product_Name">#N/A</definedName>
    <definedName name="Slicer_Region">#N/A</definedName>
    <definedName name="Slicer_Salesperson">#N/A</definedName>
  </definedNames>
  <calcPr calcId="124519"/>
  <pivotCaches>
    <pivotCache cacheId="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<sst xmlns="http://schemas.openxmlformats.org/spreadsheetml/2006/main" count="1056" uniqueCount="249">
  <si>
    <t>Order ID</t>
  </si>
  <si>
    <t>Date</t>
  </si>
  <si>
    <t>Region</t>
  </si>
  <si>
    <t>Salesperson</t>
  </si>
  <si>
    <t>Product Category</t>
  </si>
  <si>
    <t>Product Name</t>
  </si>
  <si>
    <t>Units Sold</t>
  </si>
  <si>
    <t>Unit Price</t>
  </si>
  <si>
    <t>Total Sales</t>
  </si>
  <si>
    <t>Profit</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</si>
  <si>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</si>
  <si>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</si>
  <si>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</si>
  <si>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</si>
  <si>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</si>
  <si>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</si>
  <si>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</si>
  <si>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</si>
  <si>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</si>
  <si>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</si>
  <si>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</si>
  <si>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</si>
  <si>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</si>
  <si>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</si>
  <si>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</si>
  <si>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</si>
  <si>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</si>
  <si>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</si>
  <si>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</si>
  <si>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</si>
  <si>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</si>
  <si>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</si>
  <si>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</si>
  <si>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</si>
  <si>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</si>
  <si>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</si>
  <si>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</si>
  <si>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</si>
  <si>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</si>
  <si>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</si>
  <si>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</si>
  <si>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</si>
  <si>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</si>
  <si>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</si>
  <si>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</si>
  <si>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</si>
  <si>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</si>
  <si>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</si>
  <si>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</si>
  <si>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</si>
  <si>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</si>
  <si>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</si>
  <si>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</si>
  <si>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</si>
  <si>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</si>
  <si>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</si>
  <si>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</si>
  <si>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</si>
  <si>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</si>
  <si>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</si>
  <si>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</si>
  <si>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</si>
  <si>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</si>
  <si>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</si>
  <si>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</si>
  <si>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</si>
  <si>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</si>
  <si>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</si>
  <si>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</si>
  <si>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</si>
  <si>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</si>
  <si>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</si>
  <si>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</si>
  <si>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</si>
  <si>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</si>
  <si>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</si>
  <si>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</si>
  <si>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</si>
  <si>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</si>
  <si>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</si>
  <si>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</si>
  <si>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</si>
  <si>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</si>
  <si>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</si>
  <si>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</si>
  <si>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</si>
  <si>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</si>
  <si>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</si>
  <si>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</si>
  <si>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</si>
  <si>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</si>
  <si>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</si>
  <si>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</si>
  <si>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</si>
  <si>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</si>
  <si>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</si>
  <si>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</si>
  <si>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</si>
  <si>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</si>
  <si>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</si>
  <si>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</si>
  <si>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</si>
  <si>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</si>
  <si>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</si>
  <si>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</si>
  <si>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</si>
  <si>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</si>
  <si>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</si>
  <si>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</si>
  <si>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</si>
  <si>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</si>
  <si>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</si>
  <si>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</si>
  <si>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</si>
  <si>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</si>
  <si>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</si>
  <si>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</si>
  <si>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</si>
  <si>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</si>
  <si>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</si>
  <si>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</si>
  <si>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</si>
  <si>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</si>
  <si>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</si>
  <si>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</si>
  <si>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</si>
  <si>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</si>
  <si>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</si>
  <si>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</si>
  <si>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</si>
  <si>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</si>
  <si>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</si>
  <si>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</si>
  <si>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</si>
  <si>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</si>
  <si>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</si>
  <si>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</si>
  <si>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</si>
  <si>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</si>
  <si>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</si>
  <si>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</si>
  <si>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</si>
  <si>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</si>
  <si>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</si>
  <si>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</si>
  <si>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</si>
  <si>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</si>
  <si>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</si>
  <si>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</si>
  <si>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</si>
  <si>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</si>
  <si>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</si>
  <si>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</si>
  <si>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</si>
  <si>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</si>
  <si>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</si>
  <si>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</si>
  <si>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</si>
  <si>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</si>
  <si>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</si>
  <si>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</si>
  <si>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</si>
  <si>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</si>
  <si>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</si>
  <si>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</si>
  <si>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</si>
  <si>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</si>
  <si>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</si>
  <si>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</si>
  <si>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</si>
  <si>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</si>
  <si>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</si>
  <si>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</si>
  <si>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</si>
  <si>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</si>
  <si>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</si>
  <si>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</si>
  <si>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</si>
  <si>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</si>
  <si>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</si>
  <si>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</si>
  <si>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</si>
  <si>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</si>
  <si>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</si>
  <si>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</si>
  <si>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</si>
  <si>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</si>
  <si>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</si>
  <si>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</si>
  <si>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</si>
  <si>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</si>
  <si>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</si>
  <si>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</si>
  <si>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</si>
  <si>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</si>
  <si>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</si>
  <si>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</si>
  <si>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</si>
  <si>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</si>
  <si>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</si>
  <si>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</si>
  <si>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</si>
  <si>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</si>
  <si>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</si>
  <si>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</si>
  <si>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</si>
  <si>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</si>
  <si>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</si>
  <si>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</si>
  <si>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</si>
  <si>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West</t>
  </si>
  <si>
    <t>North</t>
  </si>
  <si>
    <t>East</t>
  </si>
  <si>
    <t>South</t>
  </si>
  <si>
    <t>Sarah Ibarra</t>
  </si>
  <si>
    <t>Jason Francis</t>
  </si>
  <si>
    <t>Patrick Hubbard</t>
  </si>
  <si>
    <t>Brian Davis</t>
  </si>
  <si>
    <t>Amy Williams</t>
  </si>
  <si>
    <t>Cody James</t>
  </si>
  <si>
    <t>Alicia Cooper</t>
  </si>
  <si>
    <t>Cheryl Hernandez</t>
  </si>
  <si>
    <t>Emily Tran</t>
  </si>
  <si>
    <t>Ashley Rogers</t>
  </si>
  <si>
    <t>Clothing</t>
  </si>
  <si>
    <t>Furniture</t>
  </si>
  <si>
    <t>Groceries</t>
  </si>
  <si>
    <t>Electronics</t>
  </si>
  <si>
    <t>Shirt</t>
  </si>
  <si>
    <t>Table</t>
  </si>
  <si>
    <t>Bed</t>
  </si>
  <si>
    <t>Vegetables</t>
  </si>
  <si>
    <t>Sofa</t>
  </si>
  <si>
    <t>Dress</t>
  </si>
  <si>
    <t>Laptop</t>
  </si>
  <si>
    <t>Chair</t>
  </si>
  <si>
    <t>Snacks</t>
  </si>
  <si>
    <t>Jacket</t>
  </si>
  <si>
    <t>Headphones</t>
  </si>
  <si>
    <t>Camera</t>
  </si>
  <si>
    <t>Oil</t>
  </si>
  <si>
    <t>Mobile</t>
  </si>
  <si>
    <t>Jeans</t>
  </si>
  <si>
    <t>Rice</t>
  </si>
  <si>
    <t>Row Labels</t>
  </si>
  <si>
    <t>Grand Total</t>
  </si>
  <si>
    <t>Sum of Total Sales</t>
  </si>
  <si>
    <t>Sum of Profit</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</si>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</sst>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1" xfId="0" applyBorder="1"/>
    <xf numFmtId="164" fontId="0" fillId="0" borderId="1" xfId="0" applyNumberForma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colors>
    <mruColors>
      <color rgb="FFFCB6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c:name>
    <c:fmtId val="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pattFill prst="ltUpDiag">
              <a:fgClr>
                <a:schemeClr val="accent1"/>
              </a:fgClr>
              <a:bgClr>
                <a:schemeClr val="lt1"/>
              </a:bgClr>
            </a:pattFill>
            <a:ln>
              <a:noFill/>
            </a:ln>
            <a:effectLst/>
          </c:spPr>
          <c:invertIfNegative val="0"/>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740368.58000000007</c:v>
                </c:pt>
                <c:pt idx="1">
                  <c:v>550370.18000000005</c:v>
                </c:pt>
                <c:pt idx="2">
                  <c:v>704637.33000000007</c:v>
                </c:pt>
                <c:pt idx="3">
                  <c:v>557896.36999999988</c:v>
                </c:pt>
              </c:numCache>
            </c:numRef>
          </c:val>
          <c:extLst>
            <c:ext xmlns:c16="http://schemas.microsoft.com/office/drawing/2014/chart" uri="{C3380CC4-5D6E-409C-BE32-E72D297353CC}">
              <c16:uniqueId val="{00000000-6185-4617-9E78-05BFBFE6411F}"/>
            </c:ext>
          </c:extLst>
        </c:ser>
        <c:dLbls>
          <c:showLegendKey val="0"/>
          <c:showVal val="0"/>
          <c:showCatName val="0"/>
          <c:showSerName val="0"/>
          <c:showPercent val="0"/>
          <c:showBubbleSize val="0"/>
        </c:dLbls>
        <c:gapWidth val="269"/>
        <c:overlap val="-20"/>
        <c:axId val="1614558304"/>
        <c:axId val="1614560704"/>
      </c:barChart>
      <c:catAx>
        <c:axId val="161455830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614560704"/>
        <c:crosses val="autoZero"/>
        <c:auto val="1"/>
        <c:lblAlgn val="ctr"/>
        <c:lblOffset val="100"/>
        <c:noMultiLvlLbl val="0"/>
      </c:catAx>
      <c:valAx>
        <c:axId val="1614560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1455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table!PivotTable2</c:name>
    <c:fmtId val="1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1200000"/>
            </a:lightRig>
          </a:scene3d>
          <a:sp3d prstMaterial="dkEdge">
            <a:bevelT w="63500" h="25400" prst="cross"/>
            <a:bevelB prst="relaxedInse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1200000"/>
            </a:lightRig>
          </a:scene3d>
          <a:sp3d prstMaterial="dkEdge">
            <a:bevelT w="63500" h="25400" prst="cross"/>
            <a:bevelB prst="relaxedInset"/>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1200000"/>
            </a:lightRig>
          </a:scene3d>
          <a:sp3d prstMaterial="dkEdge">
            <a:bevelT w="63500" h="25400" prst="cross"/>
            <a:bevelB prst="relaxedInset"/>
          </a:sp3d>
        </c:spPr>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1200000"/>
            </a:lightRig>
          </a:scene3d>
          <a:sp3d prstMaterial="dkEdge">
            <a:bevelT w="63500" h="25400" prst="cross"/>
            <a:bevelB prst="relaxedInset"/>
          </a:sp3d>
        </c:spPr>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1200000"/>
            </a:lightRig>
          </a:scene3d>
          <a:sp3d prstMaterial="dkEdge">
            <a:bevelT w="63500" h="25400" prst="cross"/>
            <a:bevelB prst="relaxedInse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0523755583183681"/>
          <c:w val="0.6693121693121693"/>
          <c:h val="0.68248174241377724"/>
        </c:manualLayout>
      </c:layout>
      <c:pie3DChart>
        <c:varyColors val="1"/>
        <c:ser>
          <c:idx val="0"/>
          <c:order val="0"/>
          <c:tx>
            <c:strRef>
              <c:f>'pivot table'!$F$3</c:f>
              <c:strCache>
                <c:ptCount val="1"/>
                <c:pt idx="0">
                  <c:v>Total</c:v>
                </c:pt>
              </c:strCache>
            </c:strRef>
          </c:tx>
          <c:spPr>
            <a:scene3d>
              <a:camera prst="orthographicFront"/>
              <a:lightRig rig="threePt" dir="t">
                <a:rot lat="0" lon="0" rev="1200000"/>
              </a:lightRig>
            </a:scene3d>
            <a:sp3d prstMaterial="dkEdge">
              <a:bevelT w="63500" h="25400" prst="cross"/>
              <a:bevelB prst="relaxedInset"/>
            </a:sp3d>
          </c:spPr>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1200000"/>
                </a:lightRig>
              </a:scene3d>
              <a:sp3d prstMaterial="dkEdge">
                <a:bevelT w="63500" h="25400" prst="cross"/>
                <a:bevelB prst="relaxedInset"/>
              </a:sp3d>
            </c:spPr>
            <c:extLst>
              <c:ext xmlns:c16="http://schemas.microsoft.com/office/drawing/2014/chart" uri="{C3380CC4-5D6E-409C-BE32-E72D297353CC}">
                <c16:uniqueId val="{00000001-E35F-465E-8CEA-93849B78BE2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1200000"/>
                </a:lightRig>
              </a:scene3d>
              <a:sp3d prstMaterial="dkEdge">
                <a:bevelT w="63500" h="25400" prst="cross"/>
                <a:bevelB prst="relaxedInset"/>
              </a:sp3d>
            </c:spPr>
            <c:extLst>
              <c:ext xmlns:c16="http://schemas.microsoft.com/office/drawing/2014/chart" uri="{C3380CC4-5D6E-409C-BE32-E72D297353CC}">
                <c16:uniqueId val="{00000003-E35F-465E-8CEA-93849B78BE2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1200000"/>
                </a:lightRig>
              </a:scene3d>
              <a:sp3d prstMaterial="dkEdge">
                <a:bevelT w="63500" h="25400" prst="cross"/>
                <a:bevelB prst="relaxedInset"/>
              </a:sp3d>
            </c:spPr>
            <c:extLst>
              <c:ext xmlns:c16="http://schemas.microsoft.com/office/drawing/2014/chart" uri="{C3380CC4-5D6E-409C-BE32-E72D297353CC}">
                <c16:uniqueId val="{00000005-E35F-465E-8CEA-93849B78BE2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1200000"/>
                </a:lightRig>
              </a:scene3d>
              <a:sp3d prstMaterial="dkEdge">
                <a:bevelT w="63500" h="25400" prst="cross"/>
                <a:bevelB prst="relaxedInset"/>
              </a:sp3d>
            </c:spPr>
            <c:extLst>
              <c:ext xmlns:c16="http://schemas.microsoft.com/office/drawing/2014/chart" uri="{C3380CC4-5D6E-409C-BE32-E72D297353CC}">
                <c16:uniqueId val="{00000007-E35F-465E-8CEA-93849B78BE21}"/>
              </c:ext>
            </c:extLst>
          </c:dPt>
          <c:cat>
            <c:strRef>
              <c:f>'pivot table'!$E$4:$E$8</c:f>
              <c:strCache>
                <c:ptCount val="4"/>
                <c:pt idx="0">
                  <c:v>Clothing</c:v>
                </c:pt>
                <c:pt idx="1">
                  <c:v>Electronics</c:v>
                </c:pt>
                <c:pt idx="2">
                  <c:v>Furniture</c:v>
                </c:pt>
                <c:pt idx="3">
                  <c:v>Groceries</c:v>
                </c:pt>
              </c:strCache>
            </c:strRef>
          </c:cat>
          <c:val>
            <c:numRef>
              <c:f>'pivot table'!$F$4:$F$8</c:f>
              <c:numCache>
                <c:formatCode>General</c:formatCode>
                <c:ptCount val="4"/>
                <c:pt idx="0">
                  <c:v>532511.29999999993</c:v>
                </c:pt>
                <c:pt idx="1">
                  <c:v>719501.65</c:v>
                </c:pt>
                <c:pt idx="2">
                  <c:v>614782.74</c:v>
                </c:pt>
                <c:pt idx="3">
                  <c:v>686476.77000000014</c:v>
                </c:pt>
              </c:numCache>
            </c:numRef>
          </c:val>
          <c:extLst>
            <c:ext xmlns:c16="http://schemas.microsoft.com/office/drawing/2014/chart" uri="{C3380CC4-5D6E-409C-BE32-E72D297353CC}">
              <c16:uniqueId val="{00000008-E35F-465E-8CEA-93849B78BE2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dashboard.xlsx]pivot table!PivotTable4</c:name>
    <c:fmtId val="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table'!$M$3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table'!$L$4:$L$14</c:f>
              <c:strCache>
                <c:ptCount val="10"/>
                <c:pt idx="0">
                  <c:v>Alicia Cooper</c:v>
                </c:pt>
                <c:pt idx="1">
                  <c:v>Amy Williams</c:v>
                </c:pt>
                <c:pt idx="2">
                  <c:v>Ashley Rogers</c:v>
                </c:pt>
                <c:pt idx="3">
                  <c:v>Brian Davis</c:v>
                </c:pt>
                <c:pt idx="4">
                  <c:v>Cheryl Hernandez</c:v>
                </c:pt>
                <c:pt idx="5">
                  <c:v>Cody James</c:v>
                </c:pt>
                <c:pt idx="6">
                  <c:v>Emily Tran</c:v>
                </c:pt>
                <c:pt idx="7">
                  <c:v>Jason Francis</c:v>
                </c:pt>
                <c:pt idx="8">
                  <c:v>Patrick Hubbard</c:v>
                </c:pt>
                <c:pt idx="9">
                  <c:v>Sarah Ibarra</c:v>
                </c:pt>
              </c:strCache>
            </c:strRef>
          </c:cat>
          <c:val>
            <c:numRef>
              <c:f>'pivot table'!$M$4:$M$14</c:f>
              <c:numCache>
                <c:formatCode>General</c:formatCode>
                <c:ptCount val="10"/>
                <c:pt idx="0">
                  <c:v>371</c:v>
                </c:pt>
                <c:pt idx="1">
                  <c:v>540</c:v>
                </c:pt>
                <c:pt idx="2">
                  <c:v>602</c:v>
                </c:pt>
                <c:pt idx="3">
                  <c:v>697</c:v>
                </c:pt>
                <c:pt idx="4">
                  <c:v>539</c:v>
                </c:pt>
                <c:pt idx="5">
                  <c:v>575</c:v>
                </c:pt>
                <c:pt idx="6">
                  <c:v>483</c:v>
                </c:pt>
                <c:pt idx="7">
                  <c:v>602</c:v>
                </c:pt>
                <c:pt idx="8">
                  <c:v>606</c:v>
                </c:pt>
                <c:pt idx="9">
                  <c:v>267</c:v>
                </c:pt>
              </c:numCache>
            </c:numRef>
          </c:val>
          <c:extLst>
            <c:ext xmlns:c16="http://schemas.microsoft.com/office/drawing/2014/chart" uri="{C3380CC4-5D6E-409C-BE32-E72D297353CC}">
              <c16:uniqueId val="{00000000-3CC9-4A9D-B73C-1797100789C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19461408"/>
        <c:axId val="1519463328"/>
      </c:areaChart>
      <c:catAx>
        <c:axId val="1519461408"/>
        <c:scaling>
          <c:orientation val="minMax"/>
        </c:scaling>
        <c:delete val="0"/>
        <c:axPos val="b"/>
        <c:numFmt formatCode="General" sourceLinked="1"/>
        <c:majorTickMark val="none"/>
        <c:minorTickMark val="none"/>
        <c:tickLblPos val="nextTo"/>
        <c:spPr>
          <a:noFill/>
          <a:ln w="9525" cap="flat" cmpd="sng" algn="ctr">
            <a:solidFill>
              <a:schemeClr val="accent2">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19463328"/>
        <c:crosses val="autoZero"/>
        <c:auto val="1"/>
        <c:lblAlgn val="ctr"/>
        <c:lblOffset val="100"/>
        <c:noMultiLvlLbl val="0"/>
      </c:catAx>
      <c:valAx>
        <c:axId val="1519463328"/>
        <c:scaling>
          <c:orientation val="minMax"/>
        </c:scaling>
        <c:delete val="1"/>
        <c:axPos val="l"/>
        <c:numFmt formatCode="General" sourceLinked="1"/>
        <c:majorTickMark val="out"/>
        <c:minorTickMark val="none"/>
        <c:tickLblPos val="nextTo"/>
        <c:crossAx val="15194614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table!PivotTable3</c:name>
    <c:fmtId val="5"/>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table'!$H$4:$H$20</c:f>
              <c:strCache>
                <c:ptCount val="16"/>
                <c:pt idx="0">
                  <c:v>Bed</c:v>
                </c:pt>
                <c:pt idx="1">
                  <c:v>Camera</c:v>
                </c:pt>
                <c:pt idx="2">
                  <c:v>Chair</c:v>
                </c:pt>
                <c:pt idx="3">
                  <c:v>Dress</c:v>
                </c:pt>
                <c:pt idx="4">
                  <c:v>Headphones</c:v>
                </c:pt>
                <c:pt idx="5">
                  <c:v>Jacket</c:v>
                </c:pt>
                <c:pt idx="6">
                  <c:v>Jeans</c:v>
                </c:pt>
                <c:pt idx="7">
                  <c:v>Laptop</c:v>
                </c:pt>
                <c:pt idx="8">
                  <c:v>Mobile</c:v>
                </c:pt>
                <c:pt idx="9">
                  <c:v>Oil</c:v>
                </c:pt>
                <c:pt idx="10">
                  <c:v>Rice</c:v>
                </c:pt>
                <c:pt idx="11">
                  <c:v>Shirt</c:v>
                </c:pt>
                <c:pt idx="12">
                  <c:v>Snacks</c:v>
                </c:pt>
                <c:pt idx="13">
                  <c:v>Sofa</c:v>
                </c:pt>
                <c:pt idx="14">
                  <c:v>Table</c:v>
                </c:pt>
                <c:pt idx="15">
                  <c:v>Vegetables</c:v>
                </c:pt>
              </c:strCache>
            </c:strRef>
          </c:cat>
          <c:val>
            <c:numRef>
              <c:f>'pivot table'!$I$4:$I$20</c:f>
              <c:numCache>
                <c:formatCode>General</c:formatCode>
                <c:ptCount val="16"/>
                <c:pt idx="0">
                  <c:v>43719.350000000006</c:v>
                </c:pt>
                <c:pt idx="1">
                  <c:v>55493.179999999993</c:v>
                </c:pt>
                <c:pt idx="2">
                  <c:v>24579.859999999997</c:v>
                </c:pt>
                <c:pt idx="3">
                  <c:v>41700.33</c:v>
                </c:pt>
                <c:pt idx="4">
                  <c:v>30580.3</c:v>
                </c:pt>
                <c:pt idx="5">
                  <c:v>30818.78</c:v>
                </c:pt>
                <c:pt idx="6">
                  <c:v>29073.4</c:v>
                </c:pt>
                <c:pt idx="7">
                  <c:v>31384.84</c:v>
                </c:pt>
                <c:pt idx="8">
                  <c:v>63720.59</c:v>
                </c:pt>
                <c:pt idx="9">
                  <c:v>38393.1</c:v>
                </c:pt>
                <c:pt idx="10">
                  <c:v>61516.799999999996</c:v>
                </c:pt>
                <c:pt idx="11">
                  <c:v>42359.040000000001</c:v>
                </c:pt>
                <c:pt idx="12">
                  <c:v>55611.659999999996</c:v>
                </c:pt>
                <c:pt idx="13">
                  <c:v>46223.26999999999</c:v>
                </c:pt>
                <c:pt idx="14">
                  <c:v>40503.839999999997</c:v>
                </c:pt>
                <c:pt idx="15">
                  <c:v>30676.890000000003</c:v>
                </c:pt>
              </c:numCache>
            </c:numRef>
          </c:val>
          <c:smooth val="0"/>
          <c:extLst>
            <c:ext xmlns:c16="http://schemas.microsoft.com/office/drawing/2014/chart" uri="{C3380CC4-5D6E-409C-BE32-E72D297353CC}">
              <c16:uniqueId val="{00000000-351B-4BF3-9BD9-3F67182615D6}"/>
            </c:ext>
          </c:extLst>
        </c:ser>
        <c:dLbls>
          <c:showLegendKey val="0"/>
          <c:showVal val="0"/>
          <c:showCatName val="0"/>
          <c:showSerName val="0"/>
          <c:showPercent val="0"/>
          <c:showBubbleSize val="0"/>
        </c:dLbls>
        <c:marker val="1"/>
        <c:smooth val="0"/>
        <c:axId val="804593792"/>
        <c:axId val="804575072"/>
      </c:lineChart>
      <c:catAx>
        <c:axId val="8045937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04575072"/>
        <c:crosses val="autoZero"/>
        <c:auto val="1"/>
        <c:lblAlgn val="ctr"/>
        <c:lblOffset val="100"/>
        <c:noMultiLvlLbl val="0"/>
      </c:catAx>
      <c:valAx>
        <c:axId val="8045750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0459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44787</xdr:colOff>
      <xdr:row>0</xdr:row>
      <xdr:rowOff>163285</xdr:rowOff>
    </xdr:from>
    <xdr:to>
      <xdr:col>32</xdr:col>
      <xdr:colOff>155511</xdr:colOff>
      <xdr:row>7</xdr:row>
      <xdr:rowOff>109945</xdr:rowOff>
    </xdr:to>
    <xdr:sp macro="" textlink="">
      <xdr:nvSpPr>
        <xdr:cNvPr id="2" name="Rectangle: Rounded Corners 1">
          <a:extLst>
            <a:ext uri="{FF2B5EF4-FFF2-40B4-BE49-F238E27FC236}">
              <a16:creationId xmlns:a16="http://schemas.microsoft.com/office/drawing/2014/main" id="{96A46E0D-D2B3-55FA-F556-B5D856D5CA9A}"/>
            </a:ext>
          </a:extLst>
        </xdr:cNvPr>
        <xdr:cNvSpPr/>
      </xdr:nvSpPr>
      <xdr:spPr>
        <a:xfrm>
          <a:off x="654387" y="163285"/>
          <a:ext cx="19008324" cy="124206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xdr:col>
      <xdr:colOff>197955</xdr:colOff>
      <xdr:row>8</xdr:row>
      <xdr:rowOff>162348</xdr:rowOff>
    </xdr:from>
    <xdr:to>
      <xdr:col>4</xdr:col>
      <xdr:colOff>197954</xdr:colOff>
      <xdr:row>34</xdr:row>
      <xdr:rowOff>85859</xdr:rowOff>
    </xdr:to>
    <mc:AlternateContent xmlns:mc="http://schemas.openxmlformats.org/markup-compatibility/2006">
      <mc:Choice xmlns:a14="http://schemas.microsoft.com/office/drawing/2010/main" Requires="a14">
        <xdr:graphicFrame macro="">
          <xdr:nvGraphicFramePr>
            <xdr:cNvPr id="5" name="Product Name">
              <a:extLst>
                <a:ext uri="{FF2B5EF4-FFF2-40B4-BE49-F238E27FC236}">
                  <a16:creationId xmlns:a16="http://schemas.microsoft.com/office/drawing/2014/main" id="{5216E675-135C-48CB-B35B-17919ACF0587}"/>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812471" y="1637187"/>
              <a:ext cx="1843548" cy="4716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527288</xdr:colOff>
      <xdr:row>26</xdr:row>
      <xdr:rowOff>115379</xdr:rowOff>
    </xdr:from>
    <xdr:to>
      <xdr:col>7</xdr:col>
      <xdr:colOff>527288</xdr:colOff>
      <xdr:row>34</xdr:row>
      <xdr:rowOff>89825</xdr:rowOff>
    </xdr:to>
    <mc:AlternateContent xmlns:mc="http://schemas.openxmlformats.org/markup-compatibility/2006">
      <mc:Choice xmlns:a14="http://schemas.microsoft.com/office/drawing/2010/main" Requires="a14">
        <xdr:graphicFrame macro="">
          <xdr:nvGraphicFramePr>
            <xdr:cNvPr id="6" name="Product Category">
              <a:extLst>
                <a:ext uri="{FF2B5EF4-FFF2-40B4-BE49-F238E27FC236}">
                  <a16:creationId xmlns:a16="http://schemas.microsoft.com/office/drawing/2014/main" id="{8EE20EE7-7B56-4AC3-B78B-DF986166539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2985353" y="4908605"/>
              <a:ext cx="1843548" cy="1449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171533</xdr:colOff>
      <xdr:row>36</xdr:row>
      <xdr:rowOff>64998</xdr:rowOff>
    </xdr:from>
    <xdr:to>
      <xdr:col>8</xdr:col>
      <xdr:colOff>0</xdr:colOff>
      <xdr:row>42</xdr:row>
      <xdr:rowOff>165653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CDAEB1F-AD77-497A-B081-434BDCAF4F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86049" y="6701772"/>
              <a:ext cx="4130080" cy="1206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518223</xdr:colOff>
      <xdr:row>8</xdr:row>
      <xdr:rowOff>158601</xdr:rowOff>
    </xdr:from>
    <xdr:to>
      <xdr:col>7</xdr:col>
      <xdr:colOff>518223</xdr:colOff>
      <xdr:row>25</xdr:row>
      <xdr:rowOff>96592</xdr:rowOff>
    </xdr:to>
    <mc:AlternateContent xmlns:mc="http://schemas.openxmlformats.org/markup-compatibility/2006">
      <mc:Choice xmlns:a14="http://schemas.microsoft.com/office/drawing/2010/main" Requires="a14">
        <xdr:graphicFrame macro="">
          <xdr:nvGraphicFramePr>
            <xdr:cNvPr id="8" name="Salesperson">
              <a:extLst>
                <a:ext uri="{FF2B5EF4-FFF2-40B4-BE49-F238E27FC236}">
                  <a16:creationId xmlns:a16="http://schemas.microsoft.com/office/drawing/2014/main" id="{6525A7AD-2C4E-4DBE-80A2-884CC5AD9B89}"/>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2976288" y="1633440"/>
              <a:ext cx="1843548" cy="30720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576516</xdr:colOff>
      <xdr:row>28</xdr:row>
      <xdr:rowOff>117123</xdr:rowOff>
    </xdr:from>
    <xdr:to>
      <xdr:col>17</xdr:col>
      <xdr:colOff>292007</xdr:colOff>
      <xdr:row>43</xdr:row>
      <xdr:rowOff>109297</xdr:rowOff>
    </xdr:to>
    <xdr:graphicFrame macro="">
      <xdr:nvGraphicFramePr>
        <xdr:cNvPr id="9" name="Chart 8">
          <a:extLst>
            <a:ext uri="{FF2B5EF4-FFF2-40B4-BE49-F238E27FC236}">
              <a16:creationId xmlns:a16="http://schemas.microsoft.com/office/drawing/2014/main" id="{01A99170-863D-4766-930C-F27A23355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7477</xdr:colOff>
      <xdr:row>10</xdr:row>
      <xdr:rowOff>88081</xdr:rowOff>
    </xdr:from>
    <xdr:to>
      <xdr:col>17</xdr:col>
      <xdr:colOff>334715</xdr:colOff>
      <xdr:row>25</xdr:row>
      <xdr:rowOff>81278</xdr:rowOff>
    </xdr:to>
    <xdr:graphicFrame macro="">
      <xdr:nvGraphicFramePr>
        <xdr:cNvPr id="10" name="Chart 9">
          <a:extLst>
            <a:ext uri="{FF2B5EF4-FFF2-40B4-BE49-F238E27FC236}">
              <a16:creationId xmlns:a16="http://schemas.microsoft.com/office/drawing/2014/main" id="{CA0B44C5-3FDB-441D-875F-C666F571C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411501</xdr:colOff>
      <xdr:row>28</xdr:row>
      <xdr:rowOff>115957</xdr:rowOff>
    </xdr:from>
    <xdr:to>
      <xdr:col>27</xdr:col>
      <xdr:colOff>129634</xdr:colOff>
      <xdr:row>43</xdr:row>
      <xdr:rowOff>108364</xdr:rowOff>
    </xdr:to>
    <xdr:graphicFrame macro="">
      <xdr:nvGraphicFramePr>
        <xdr:cNvPr id="11" name="Chart 10">
          <a:extLst>
            <a:ext uri="{FF2B5EF4-FFF2-40B4-BE49-F238E27FC236}">
              <a16:creationId xmlns:a16="http://schemas.microsoft.com/office/drawing/2014/main" id="{6ACF6B5F-53AA-4C8C-B2AB-21511187D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466982</xdr:colOff>
      <xdr:row>10</xdr:row>
      <xdr:rowOff>49697</xdr:rowOff>
    </xdr:from>
    <xdr:to>
      <xdr:col>27</xdr:col>
      <xdr:colOff>181306</xdr:colOff>
      <xdr:row>25</xdr:row>
      <xdr:rowOff>42104</xdr:rowOff>
    </xdr:to>
    <xdr:graphicFrame macro="">
      <xdr:nvGraphicFramePr>
        <xdr:cNvPr id="12" name="Chart 11">
          <a:extLst>
            <a:ext uri="{FF2B5EF4-FFF2-40B4-BE49-F238E27FC236}">
              <a16:creationId xmlns:a16="http://schemas.microsoft.com/office/drawing/2014/main" id="{53734BC5-3326-4E36-9C03-61578406E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174171</xdr:colOff>
      <xdr:row>1</xdr:row>
      <xdr:rowOff>119743</xdr:rowOff>
    </xdr:from>
    <xdr:to>
      <xdr:col>28</xdr:col>
      <xdr:colOff>261257</xdr:colOff>
      <xdr:row>5</xdr:row>
      <xdr:rowOff>97971</xdr:rowOff>
    </xdr:to>
    <xdr:sp macro="" textlink="">
      <xdr:nvSpPr>
        <xdr:cNvPr id="13" name="TextBox 12">
          <a:extLst>
            <a:ext uri="{FF2B5EF4-FFF2-40B4-BE49-F238E27FC236}">
              <a16:creationId xmlns:a16="http://schemas.microsoft.com/office/drawing/2014/main" id="{FA804C56-F05D-A77A-787F-EA1CA0618B16}"/>
            </a:ext>
          </a:extLst>
        </xdr:cNvPr>
        <xdr:cNvSpPr txBox="1"/>
      </xdr:nvSpPr>
      <xdr:spPr>
        <a:xfrm>
          <a:off x="3831771" y="304800"/>
          <a:ext cx="13498286" cy="718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400" b="0" cap="none" spc="0">
              <a:ln w="0"/>
              <a:solidFill>
                <a:schemeClr val="accent1"/>
              </a:solidFill>
              <a:effectLst>
                <a:outerShdw blurRad="38100" dist="25400" dir="5400000" algn="ctr" rotWithShape="0">
                  <a:srgbClr val="6E747A">
                    <a:alpha val="43000"/>
                  </a:srgbClr>
                </a:outerShdw>
              </a:effectLst>
              <a:latin typeface="Bodoni MT Black" panose="02070A03080606020203" pitchFamily="18" charset="0"/>
            </a:rPr>
            <a:t>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kumar" refreshedDate="45875.427447453701" createdVersion="8" refreshedVersion="8" minRefreshableVersion="3" recordCount="200" xr:uid="{F8D8DFD9-897F-427E-BBC0-E09E41186E2B}">
  <cacheSource type="worksheet">
    <worksheetSource ref="A1:J201" sheet="Sheet1"/>
  </cacheSource>
  <cacheFields count="10">
    <cacheField name="Order ID" numFmtId="0">
      <sharedItems/>
    </cacheField>
    <cacheField name="Date" numFmtId="164">
      <sharedItems containsSemiMixedTypes="0" containsNonDate="0" containsDate="1" containsString="0" minDate="2025-02-02T00:00:00" maxDate="2025-08-02T00:00:00"/>
    </cacheField>
    <cacheField name="Region" numFmtId="0">
      <sharedItems count="4">
        <s v="West"/>
        <s v="North"/>
        <s v="East"/>
        <s v="South"/>
      </sharedItems>
    </cacheField>
    <cacheField name="Salesperson" numFmtId="0">
      <sharedItems count="10">
        <s v="Sarah Ibarra"/>
        <s v="Jason Francis"/>
        <s v="Patrick Hubbard"/>
        <s v="Brian Davis"/>
        <s v="Amy Williams"/>
        <s v="Cody James"/>
        <s v="Alicia Cooper"/>
        <s v="Cheryl Hernandez"/>
        <s v="Emily Tran"/>
        <s v="Ashley Rogers"/>
      </sharedItems>
    </cacheField>
    <cacheField name="Product Category" numFmtId="0">
      <sharedItems count="4">
        <s v="Clothing"/>
        <s v="Furniture"/>
        <s v="Groceries"/>
        <s v="Electronics"/>
      </sharedItems>
    </cacheField>
    <cacheField name="Product Name" numFmtId="0">
      <sharedItems count="16">
        <s v="Shirt"/>
        <s v="Table"/>
        <s v="Bed"/>
        <s v="Vegetables"/>
        <s v="Sofa"/>
        <s v="Dress"/>
        <s v="Laptop"/>
        <s v="Chair"/>
        <s v="Snacks"/>
        <s v="Jacket"/>
        <s v="Headphones"/>
        <s v="Camera"/>
        <s v="Oil"/>
        <s v="Mobile"/>
        <s v="Jeans"/>
        <s v="Rice"/>
      </sharedItems>
    </cacheField>
    <cacheField name="Units Sold" numFmtId="0">
      <sharedItems containsSemiMixedTypes="0" containsString="0" containsNumber="1" containsInteger="1" minValue="1" maxValue="50" count="50">
        <n v="21"/>
        <n v="2"/>
        <n v="32"/>
        <n v="41"/>
        <n v="5"/>
        <n v="42"/>
        <n v="22"/>
        <n v="16"/>
        <n v="12"/>
        <n v="25"/>
        <n v="36"/>
        <n v="4"/>
        <n v="15"/>
        <n v="18"/>
        <n v="39"/>
        <n v="7"/>
        <n v="26"/>
        <n v="1"/>
        <n v="38"/>
        <n v="29"/>
        <n v="9"/>
        <n v="43"/>
        <n v="31"/>
        <n v="19"/>
        <n v="20"/>
        <n v="13"/>
        <n v="45"/>
        <n v="46"/>
        <n v="27"/>
        <n v="50"/>
        <n v="44"/>
        <n v="47"/>
        <n v="11"/>
        <n v="34"/>
        <n v="28"/>
        <n v="48"/>
        <n v="23"/>
        <n v="35"/>
        <n v="10"/>
        <n v="40"/>
        <n v="8"/>
        <n v="24"/>
        <n v="14"/>
        <n v="37"/>
        <n v="33"/>
        <n v="30"/>
        <n v="3"/>
        <n v="49"/>
        <n v="17"/>
        <n v="6"/>
      </sharedItems>
    </cacheField>
    <cacheField name="Unit Price" numFmtId="0">
      <sharedItems containsSemiMixedTypes="0" containsString="0" containsNumber="1" minValue="10.41" maxValue="998.77"/>
    </cacheField>
    <cacheField name="Total Sales" numFmtId="0">
      <sharedItems containsSemiMixedTypes="0" containsString="0" containsNumber="1" minValue="183.8" maxValue="48751.57" count="200">
        <n v="2937.69"/>
        <n v="1072.06"/>
        <n v="14220.48"/>
        <n v="23715.63"/>
        <n v="4261.25"/>
        <n v="1758.12"/>
        <n v="2211.2199999999998"/>
        <n v="14981.76"/>
        <n v="6721.2"/>
        <n v="13224.25"/>
        <n v="23646.959999999999"/>
        <n v="3264.8"/>
        <n v="2372.52"/>
        <n v="8505"/>
        <n v="13938.48"/>
        <n v="8380.7999999999993"/>
        <n v="36824.19"/>
        <n v="21874.75"/>
        <n v="5680.5"/>
        <n v="20631.259999999998"/>
        <n v="664.86"/>
        <n v="1589.66"/>
        <n v="17954.240000000002"/>
        <n v="4002.6"/>
        <n v="1150.72"/>
        <n v="5986.53"/>
        <n v="1174.4000000000001"/>
        <n v="18400.830000000002"/>
        <n v="33344.35"/>
        <n v="6774.68"/>
        <n v="3822.77"/>
        <n v="29102.799999999999"/>
        <n v="6054.58"/>
        <n v="9432.99"/>
        <n v="6953.5"/>
        <n v="3984.87"/>
        <n v="15714.4"/>
        <n v="11409.45"/>
        <n v="16779.150000000001"/>
        <n v="3175.64"/>
        <n v="16896.259999999998"/>
        <n v="6854.4"/>
        <n v="1134.45"/>
        <n v="21897.040000000001"/>
        <n v="10905.3"/>
        <n v="10822.5"/>
        <n v="953.5"/>
        <n v="554"/>
        <n v="28304.76"/>
        <n v="34215.06"/>
        <n v="1533.61"/>
        <n v="17824.32"/>
        <n v="9965.01"/>
        <n v="31329.98"/>
        <n v="4536.8500000000004"/>
        <n v="16773.12"/>
        <n v="13794.84"/>
        <n v="14177.4"/>
        <n v="18748.490000000002"/>
        <n v="3553.68"/>
        <n v="9825.48"/>
        <n v="18482.400000000001"/>
        <n v="5189.75"/>
        <n v="8008.26"/>
        <n v="14351.25"/>
        <n v="1028.76"/>
        <n v="11430.63"/>
        <n v="41883.839999999997"/>
        <n v="7301.12"/>
        <n v="2970.8"/>
        <n v="8576.3799999999992"/>
        <n v="2008.5"/>
        <n v="1621.12"/>
        <n v="4716.95"/>
        <n v="1272.4000000000001"/>
        <n v="26566"/>
        <n v="1773.5"/>
        <n v="15012"/>
        <n v="5724.84"/>
        <n v="5625.88"/>
        <n v="7602.48"/>
        <n v="11830.14"/>
        <n v="4039.2"/>
        <n v="20561.28"/>
        <n v="13247.28"/>
        <n v="10779.36"/>
        <n v="30618.35"/>
        <n v="416.4"/>
        <n v="7233.16"/>
        <n v="1932.72"/>
        <n v="19364.310000000001"/>
        <n v="33656.22"/>
        <n v="27965.56"/>
        <n v="11977.8"/>
        <n v="7772.8"/>
        <n v="1403.36"/>
        <n v="8346.51"/>
        <n v="2921.52"/>
        <n v="1880.76"/>
        <n v="18140.759999999998"/>
        <n v="25611.3"/>
        <n v="6127.6"/>
        <n v="1171.52"/>
        <n v="28347.119999999999"/>
        <n v="1093.0999999999999"/>
        <n v="8099.1"/>
        <n v="401.28"/>
        <n v="21264.54"/>
        <n v="19812.82"/>
        <n v="22422.240000000002"/>
        <n v="13088.04"/>
        <n v="37607.839999999997"/>
        <n v="4255.8"/>
        <n v="27825.599999999999"/>
        <n v="868.32"/>
        <n v="1756.02"/>
        <n v="2430.75"/>
        <n v="33214.06"/>
        <n v="14623.92"/>
        <n v="31654.05"/>
        <n v="15525.73"/>
        <n v="5395.74"/>
        <n v="14520.97"/>
        <n v="35815.599999999999"/>
        <n v="27773.7"/>
        <n v="15287.37"/>
        <n v="290.64"/>
        <n v="424.9"/>
        <n v="603.17999999999995"/>
        <n v="23730.959999999999"/>
        <n v="5829.95"/>
        <n v="839.54"/>
        <n v="15735.6"/>
        <n v="15268.88"/>
        <n v="5627.43"/>
        <n v="15148.8"/>
        <n v="15782"/>
        <n v="5456"/>
        <n v="27189.08"/>
        <n v="26290"/>
        <n v="29274.18"/>
        <n v="11187"/>
        <n v="17767.62"/>
        <n v="11164.38"/>
        <n v="17108.7"/>
        <n v="23768.43"/>
        <n v="3040.52"/>
        <n v="26463.200000000001"/>
        <n v="6021.72"/>
        <n v="21793.5"/>
        <n v="48751.57"/>
        <n v="11258.88"/>
        <n v="11473.56"/>
        <n v="26655.040000000001"/>
        <n v="7072.92"/>
        <n v="12500.96"/>
        <n v="13520.78"/>
        <n v="11557.28"/>
        <n v="24310.54"/>
        <n v="1764.1"/>
        <n v="9426.7900000000009"/>
        <n v="19750.29"/>
        <n v="9180.5"/>
        <n v="23894"/>
        <n v="5561.62"/>
        <n v="16419.759999999998"/>
        <n v="25310.7"/>
        <n v="20260.080000000002"/>
        <n v="7413.4"/>
        <n v="1212.1199999999999"/>
        <n v="1329.3"/>
        <n v="35220"/>
        <n v="9132.48"/>
        <n v="10163.65"/>
        <n v="3457.74"/>
        <n v="24187.72"/>
        <n v="698.49"/>
        <n v="18614.68"/>
        <n v="16127.82"/>
        <n v="11700.04"/>
        <n v="6614.01"/>
        <n v="6069.7"/>
        <n v="797.96"/>
        <n v="27574.47"/>
        <n v="37321.199999999997"/>
        <n v="4723.92"/>
        <n v="21113.75"/>
        <n v="4704.66"/>
        <n v="5641.92"/>
        <n v="2402.2800000000002"/>
        <n v="16530"/>
        <n v="3039.1"/>
        <n v="6523.86"/>
        <n v="18591.88"/>
        <n v="15269.76"/>
        <n v="25280.81"/>
        <n v="13009.59"/>
        <n v="2489.65"/>
        <n v="183.8"/>
        <n v="28132.65"/>
      </sharedItems>
    </cacheField>
    <cacheField name="Profit" numFmtId="0">
      <sharedItems containsSemiMixedTypes="0" containsString="0" containsNumber="1" minValue="29.4" maxValue="13974.64"/>
    </cacheField>
  </cacheFields>
  <extLst>
    <ext xmlns:x14="http://schemas.microsoft.com/office/spreadsheetml/2009/9/main" uri="{725AE2AE-9491-48be-B2B4-4EB974FC3084}">
      <x14:pivotCacheDefinition pivotCacheId="8082221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0001"/>
    <d v="2025-03-10T00:00:00"/>
    <x v="0"/>
    <x v="0"/>
    <x v="0"/>
    <x v="0"/>
    <x v="0"/>
    <n v="139.88999999999999"/>
    <x v="0"/>
    <n v="520.23"/>
  </r>
  <r>
    <s v="ORD0002"/>
    <d v="2025-02-25T00:00:00"/>
    <x v="1"/>
    <x v="0"/>
    <x v="1"/>
    <x v="1"/>
    <x v="1"/>
    <n v="536.03"/>
    <x v="1"/>
    <n v="334.22"/>
  </r>
  <r>
    <s v="ORD0003"/>
    <d v="2025-03-29T00:00:00"/>
    <x v="0"/>
    <x v="1"/>
    <x v="1"/>
    <x v="2"/>
    <x v="2"/>
    <n v="444.39"/>
    <x v="2"/>
    <n v="3382.32"/>
  </r>
  <r>
    <s v="ORD0004"/>
    <d v="2025-06-21T00:00:00"/>
    <x v="1"/>
    <x v="2"/>
    <x v="0"/>
    <x v="0"/>
    <x v="3"/>
    <n v="578.42999999999995"/>
    <x v="3"/>
    <n v="7570.63"/>
  </r>
  <r>
    <s v="ORD0005"/>
    <d v="2025-05-07T00:00:00"/>
    <x v="1"/>
    <x v="0"/>
    <x v="2"/>
    <x v="3"/>
    <x v="4"/>
    <n v="852.25"/>
    <x v="4"/>
    <n v="1086.8399999999999"/>
  </r>
  <r>
    <s v="ORD0006"/>
    <d v="2025-02-16T00:00:00"/>
    <x v="1"/>
    <x v="3"/>
    <x v="1"/>
    <x v="4"/>
    <x v="5"/>
    <n v="41.86"/>
    <x v="5"/>
    <n v="546.25"/>
  </r>
  <r>
    <s v="ORD0007"/>
    <d v="2025-06-29T00:00:00"/>
    <x v="2"/>
    <x v="2"/>
    <x v="2"/>
    <x v="3"/>
    <x v="6"/>
    <n v="100.51"/>
    <x v="6"/>
    <n v="625.59"/>
  </r>
  <r>
    <s v="ORD0008"/>
    <d v="2025-02-05T00:00:00"/>
    <x v="2"/>
    <x v="4"/>
    <x v="0"/>
    <x v="5"/>
    <x v="7"/>
    <n v="936.36"/>
    <x v="7"/>
    <n v="3859.55"/>
  </r>
  <r>
    <s v="ORD0009"/>
    <d v="2025-05-07T00:00:00"/>
    <x v="3"/>
    <x v="5"/>
    <x v="1"/>
    <x v="4"/>
    <x v="8"/>
    <n v="560.1"/>
    <x v="8"/>
    <n v="1667.62"/>
  </r>
  <r>
    <s v="ORD0010"/>
    <d v="2025-08-01T00:00:00"/>
    <x v="2"/>
    <x v="6"/>
    <x v="3"/>
    <x v="6"/>
    <x v="9"/>
    <n v="528.97"/>
    <x v="9"/>
    <n v="3036.38"/>
  </r>
  <r>
    <s v="ORD0011"/>
    <d v="2025-04-07T00:00:00"/>
    <x v="0"/>
    <x v="0"/>
    <x v="1"/>
    <x v="7"/>
    <x v="10"/>
    <n v="656.86"/>
    <x v="10"/>
    <n v="3259.1"/>
  </r>
  <r>
    <s v="ORD0012"/>
    <d v="2025-07-09T00:00:00"/>
    <x v="3"/>
    <x v="7"/>
    <x v="1"/>
    <x v="4"/>
    <x v="11"/>
    <n v="816.2"/>
    <x v="11"/>
    <n v="524.33000000000004"/>
  </r>
  <r>
    <s v="ORD0013"/>
    <d v="2025-07-18T00:00:00"/>
    <x v="3"/>
    <x v="7"/>
    <x v="1"/>
    <x v="1"/>
    <x v="11"/>
    <n v="593.13"/>
    <x v="12"/>
    <n v="246.35"/>
  </r>
  <r>
    <s v="ORD0014"/>
    <d v="2025-03-05T00:00:00"/>
    <x v="2"/>
    <x v="6"/>
    <x v="2"/>
    <x v="8"/>
    <x v="12"/>
    <n v="567"/>
    <x v="13"/>
    <n v="2657.71"/>
  </r>
  <r>
    <s v="ORD0015"/>
    <d v="2025-03-10T00:00:00"/>
    <x v="0"/>
    <x v="6"/>
    <x v="0"/>
    <x v="9"/>
    <x v="13"/>
    <n v="774.36"/>
    <x v="14"/>
    <n v="2771.21"/>
  </r>
  <r>
    <s v="ORD0016"/>
    <d v="2025-02-19T00:00:00"/>
    <x v="2"/>
    <x v="1"/>
    <x v="3"/>
    <x v="10"/>
    <x v="8"/>
    <n v="698.4"/>
    <x v="15"/>
    <n v="2944.83"/>
  </r>
  <r>
    <s v="ORD0017"/>
    <d v="2025-02-19T00:00:00"/>
    <x v="0"/>
    <x v="2"/>
    <x v="3"/>
    <x v="6"/>
    <x v="14"/>
    <n v="944.21"/>
    <x v="16"/>
    <n v="4300.51"/>
  </r>
  <r>
    <s v="ORD0018"/>
    <d v="2025-02-15T00:00:00"/>
    <x v="3"/>
    <x v="5"/>
    <x v="3"/>
    <x v="11"/>
    <x v="9"/>
    <n v="874.99"/>
    <x v="17"/>
    <n v="6935.2"/>
  </r>
  <r>
    <s v="ORD0019"/>
    <d v="2025-02-27T00:00:00"/>
    <x v="0"/>
    <x v="1"/>
    <x v="1"/>
    <x v="1"/>
    <x v="15"/>
    <n v="811.5"/>
    <x v="18"/>
    <n v="1254.6500000000001"/>
  </r>
  <r>
    <s v="ORD0020"/>
    <d v="2025-04-14T00:00:00"/>
    <x v="1"/>
    <x v="3"/>
    <x v="1"/>
    <x v="1"/>
    <x v="16"/>
    <n v="793.51"/>
    <x v="19"/>
    <n v="4528.45"/>
  </r>
  <r>
    <s v="ORD0021"/>
    <d v="2025-06-25T00:00:00"/>
    <x v="0"/>
    <x v="4"/>
    <x v="1"/>
    <x v="1"/>
    <x v="17"/>
    <n v="664.86"/>
    <x v="20"/>
    <n v="231.83"/>
  </r>
  <r>
    <s v="ORD0022"/>
    <d v="2025-06-27T00:00:00"/>
    <x v="3"/>
    <x v="6"/>
    <x v="2"/>
    <x v="12"/>
    <x v="1"/>
    <n v="794.83"/>
    <x v="21"/>
    <n v="449.16"/>
  </r>
  <r>
    <s v="ORD0023"/>
    <d v="2025-06-30T00:00:00"/>
    <x v="0"/>
    <x v="1"/>
    <x v="3"/>
    <x v="11"/>
    <x v="18"/>
    <n v="472.48"/>
    <x v="22"/>
    <n v="5375.1"/>
  </r>
  <r>
    <s v="ORD0024"/>
    <d v="2025-03-15T00:00:00"/>
    <x v="0"/>
    <x v="3"/>
    <x v="2"/>
    <x v="12"/>
    <x v="8"/>
    <n v="333.55"/>
    <x v="23"/>
    <n v="1232.02"/>
  </r>
  <r>
    <s v="ORD0025"/>
    <d v="2025-04-09T00:00:00"/>
    <x v="3"/>
    <x v="0"/>
    <x v="3"/>
    <x v="13"/>
    <x v="19"/>
    <n v="39.68"/>
    <x v="24"/>
    <n v="186.22"/>
  </r>
  <r>
    <s v="ORD0026"/>
    <d v="2025-03-27T00:00:00"/>
    <x v="3"/>
    <x v="1"/>
    <x v="2"/>
    <x v="8"/>
    <x v="20"/>
    <n v="665.17"/>
    <x v="25"/>
    <n v="1140.6199999999999"/>
  </r>
  <r>
    <s v="ORD0027"/>
    <d v="2025-07-21T00:00:00"/>
    <x v="3"/>
    <x v="6"/>
    <x v="0"/>
    <x v="5"/>
    <x v="2"/>
    <n v="36.700000000000003"/>
    <x v="26"/>
    <n v="172.85"/>
  </r>
  <r>
    <s v="ORD0028"/>
    <d v="2025-06-11T00:00:00"/>
    <x v="2"/>
    <x v="8"/>
    <x v="3"/>
    <x v="10"/>
    <x v="0"/>
    <n v="876.23"/>
    <x v="27"/>
    <n v="4648.03"/>
  </r>
  <r>
    <s v="ORD0029"/>
    <d v="2025-06-19T00:00:00"/>
    <x v="2"/>
    <x v="9"/>
    <x v="2"/>
    <x v="8"/>
    <x v="21"/>
    <n v="775.45"/>
    <x v="28"/>
    <n v="5892.8"/>
  </r>
  <r>
    <s v="ORD0030"/>
    <d v="2025-05-02T00:00:00"/>
    <x v="0"/>
    <x v="3"/>
    <x v="0"/>
    <x v="9"/>
    <x v="6"/>
    <n v="307.94"/>
    <x v="29"/>
    <n v="2167.54"/>
  </r>
  <r>
    <s v="ORD0031"/>
    <d v="2025-03-31T00:00:00"/>
    <x v="0"/>
    <x v="1"/>
    <x v="3"/>
    <x v="13"/>
    <x v="15"/>
    <n v="546.11"/>
    <x v="30"/>
    <n v="735.83"/>
  </r>
  <r>
    <s v="ORD0032"/>
    <d v="2025-03-31T00:00:00"/>
    <x v="0"/>
    <x v="9"/>
    <x v="0"/>
    <x v="5"/>
    <x v="22"/>
    <n v="938.8"/>
    <x v="31"/>
    <n v="5740.94"/>
  </r>
  <r>
    <s v="ORD0033"/>
    <d v="2025-03-29T00:00:00"/>
    <x v="2"/>
    <x v="8"/>
    <x v="1"/>
    <x v="7"/>
    <x v="15"/>
    <n v="864.94"/>
    <x v="32"/>
    <n v="1062.06"/>
  </r>
  <r>
    <s v="ORD0034"/>
    <d v="2025-06-11T00:00:00"/>
    <x v="0"/>
    <x v="9"/>
    <x v="3"/>
    <x v="11"/>
    <x v="0"/>
    <n v="449.19"/>
    <x v="33"/>
    <n v="2427.77"/>
  </r>
  <r>
    <s v="ORD0035"/>
    <d v="2025-04-21T00:00:00"/>
    <x v="2"/>
    <x v="1"/>
    <x v="0"/>
    <x v="0"/>
    <x v="9"/>
    <n v="278.14"/>
    <x v="34"/>
    <n v="824.97"/>
  </r>
  <r>
    <s v="ORD0036"/>
    <d v="2025-04-12T00:00:00"/>
    <x v="2"/>
    <x v="9"/>
    <x v="0"/>
    <x v="5"/>
    <x v="23"/>
    <n v="209.73"/>
    <x v="35"/>
    <n v="1590.16"/>
  </r>
  <r>
    <s v="ORD0037"/>
    <d v="2025-06-04T00:00:00"/>
    <x v="1"/>
    <x v="4"/>
    <x v="0"/>
    <x v="14"/>
    <x v="24"/>
    <n v="785.72"/>
    <x v="36"/>
    <n v="6285.26"/>
  </r>
  <r>
    <s v="ORD0038"/>
    <d v="2025-05-11T00:00:00"/>
    <x v="3"/>
    <x v="9"/>
    <x v="3"/>
    <x v="11"/>
    <x v="25"/>
    <n v="877.65"/>
    <x v="37"/>
    <n v="1863.12"/>
  </r>
  <r>
    <s v="ORD0039"/>
    <d v="2025-04-10T00:00:00"/>
    <x v="0"/>
    <x v="1"/>
    <x v="3"/>
    <x v="13"/>
    <x v="26"/>
    <n v="372.87"/>
    <x v="38"/>
    <n v="3167.56"/>
  </r>
  <r>
    <s v="ORD0040"/>
    <d v="2025-05-31T00:00:00"/>
    <x v="0"/>
    <x v="8"/>
    <x v="0"/>
    <x v="5"/>
    <x v="25"/>
    <n v="244.28"/>
    <x v="39"/>
    <n v="950.84"/>
  </r>
  <r>
    <s v="ORD0041"/>
    <d v="2025-02-07T00:00:00"/>
    <x v="3"/>
    <x v="5"/>
    <x v="2"/>
    <x v="3"/>
    <x v="27"/>
    <n v="367.31"/>
    <x v="40"/>
    <n v="4856.4799999999996"/>
  </r>
  <r>
    <s v="ORD0042"/>
    <d v="2025-04-01T00:00:00"/>
    <x v="0"/>
    <x v="7"/>
    <x v="0"/>
    <x v="14"/>
    <x v="5"/>
    <n v="163.19999999999999"/>
    <x v="41"/>
    <n v="2443.62"/>
  </r>
  <r>
    <s v="ORD0043"/>
    <d v="2025-03-31T00:00:00"/>
    <x v="3"/>
    <x v="8"/>
    <x v="0"/>
    <x v="14"/>
    <x v="4"/>
    <n v="226.89"/>
    <x v="42"/>
    <n v="140.41"/>
  </r>
  <r>
    <s v="ORD0044"/>
    <d v="2025-05-15T00:00:00"/>
    <x v="1"/>
    <x v="4"/>
    <x v="2"/>
    <x v="12"/>
    <x v="6"/>
    <n v="995.32"/>
    <x v="43"/>
    <n v="7180.72"/>
  </r>
  <r>
    <s v="ORD0045"/>
    <d v="2025-04-17T00:00:00"/>
    <x v="1"/>
    <x v="6"/>
    <x v="0"/>
    <x v="9"/>
    <x v="28"/>
    <n v="403.9"/>
    <x v="44"/>
    <n v="4179.5200000000004"/>
  </r>
  <r>
    <s v="ORD0046"/>
    <d v="2025-04-01T00:00:00"/>
    <x v="3"/>
    <x v="3"/>
    <x v="3"/>
    <x v="11"/>
    <x v="29"/>
    <n v="216.45"/>
    <x v="45"/>
    <n v="3628.6"/>
  </r>
  <r>
    <s v="ORD0047"/>
    <d v="2025-03-12T00:00:00"/>
    <x v="3"/>
    <x v="2"/>
    <x v="3"/>
    <x v="13"/>
    <x v="9"/>
    <n v="38.14"/>
    <x v="46"/>
    <n v="259.26"/>
  </r>
  <r>
    <s v="ORD0048"/>
    <d v="2025-05-10T00:00:00"/>
    <x v="3"/>
    <x v="8"/>
    <x v="3"/>
    <x v="6"/>
    <x v="1"/>
    <n v="277"/>
    <x v="47"/>
    <n v="66.709999999999994"/>
  </r>
  <r>
    <s v="ORD0049"/>
    <d v="2025-02-15T00:00:00"/>
    <x v="2"/>
    <x v="0"/>
    <x v="1"/>
    <x v="2"/>
    <x v="30"/>
    <n v="643.29"/>
    <x v="48"/>
    <n v="5551.23"/>
  </r>
  <r>
    <s v="ORD0050"/>
    <d v="2025-06-30T00:00:00"/>
    <x v="2"/>
    <x v="1"/>
    <x v="2"/>
    <x v="15"/>
    <x v="31"/>
    <n v="727.98"/>
    <x v="49"/>
    <n v="6114.48"/>
  </r>
  <r>
    <s v="ORD0051"/>
    <d v="2025-05-29T00:00:00"/>
    <x v="2"/>
    <x v="8"/>
    <x v="1"/>
    <x v="4"/>
    <x v="25"/>
    <n v="117.97"/>
    <x v="50"/>
    <n v="545.75"/>
  </r>
  <r>
    <s v="ORD0052"/>
    <d v="2025-04-08T00:00:00"/>
    <x v="3"/>
    <x v="6"/>
    <x v="2"/>
    <x v="8"/>
    <x v="2"/>
    <n v="557.01"/>
    <x v="51"/>
    <n v="7110.02"/>
  </r>
  <r>
    <s v="ORD0053"/>
    <d v="2025-02-21T00:00:00"/>
    <x v="2"/>
    <x v="5"/>
    <x v="2"/>
    <x v="15"/>
    <x v="32"/>
    <n v="905.91"/>
    <x v="52"/>
    <n v="3742.67"/>
  </r>
  <r>
    <s v="ORD0054"/>
    <d v="2025-05-08T00:00:00"/>
    <x v="3"/>
    <x v="2"/>
    <x v="2"/>
    <x v="8"/>
    <x v="33"/>
    <n v="921.47"/>
    <x v="53"/>
    <n v="8635.61"/>
  </r>
  <r>
    <s v="ORD0055"/>
    <d v="2025-04-10T00:00:00"/>
    <x v="1"/>
    <x v="9"/>
    <x v="2"/>
    <x v="8"/>
    <x v="4"/>
    <n v="907.37"/>
    <x v="54"/>
    <n v="1760.26"/>
  </r>
  <r>
    <s v="ORD0056"/>
    <d v="2025-05-09T00:00:00"/>
    <x v="1"/>
    <x v="7"/>
    <x v="1"/>
    <x v="7"/>
    <x v="13"/>
    <n v="931.84"/>
    <x v="55"/>
    <n v="5613.01"/>
  </r>
  <r>
    <s v="ORD0057"/>
    <d v="2025-04-01T00:00:00"/>
    <x v="2"/>
    <x v="7"/>
    <x v="0"/>
    <x v="5"/>
    <x v="28"/>
    <n v="510.92"/>
    <x v="56"/>
    <n v="1554.31"/>
  </r>
  <r>
    <s v="ORD0058"/>
    <d v="2025-06-07T00:00:00"/>
    <x v="3"/>
    <x v="6"/>
    <x v="2"/>
    <x v="8"/>
    <x v="12"/>
    <n v="945.16"/>
    <x v="57"/>
    <n v="2497.64"/>
  </r>
  <r>
    <s v="ORD0059"/>
    <d v="2025-02-11T00:00:00"/>
    <x v="1"/>
    <x v="2"/>
    <x v="0"/>
    <x v="0"/>
    <x v="22"/>
    <n v="604.79"/>
    <x v="58"/>
    <n v="5090.67"/>
  </r>
  <r>
    <s v="ORD0060"/>
    <d v="2025-02-18T00:00:00"/>
    <x v="2"/>
    <x v="4"/>
    <x v="0"/>
    <x v="9"/>
    <x v="14"/>
    <n v="91.12"/>
    <x v="59"/>
    <n v="840.08"/>
  </r>
  <r>
    <s v="ORD0061"/>
    <d v="2025-02-10T00:00:00"/>
    <x v="3"/>
    <x v="4"/>
    <x v="3"/>
    <x v="13"/>
    <x v="34"/>
    <n v="350.91"/>
    <x v="60"/>
    <n v="3159.5"/>
  </r>
  <r>
    <s v="ORD0062"/>
    <d v="2025-02-22T00:00:00"/>
    <x v="0"/>
    <x v="7"/>
    <x v="0"/>
    <x v="14"/>
    <x v="35"/>
    <n v="385.05"/>
    <x v="61"/>
    <n v="4131.33"/>
  </r>
  <r>
    <s v="ORD0063"/>
    <d v="2025-06-28T00:00:00"/>
    <x v="2"/>
    <x v="1"/>
    <x v="3"/>
    <x v="11"/>
    <x v="9"/>
    <n v="207.59"/>
    <x v="62"/>
    <n v="623.30999999999995"/>
  </r>
  <r>
    <s v="ORD0064"/>
    <d v="2025-03-01T00:00:00"/>
    <x v="2"/>
    <x v="9"/>
    <x v="2"/>
    <x v="15"/>
    <x v="16"/>
    <n v="308.01"/>
    <x v="63"/>
    <n v="1321.46"/>
  </r>
  <r>
    <s v="ORD0065"/>
    <d v="2025-07-23T00:00:00"/>
    <x v="1"/>
    <x v="2"/>
    <x v="3"/>
    <x v="10"/>
    <x v="12"/>
    <n v="956.75"/>
    <x v="64"/>
    <n v="5350.87"/>
  </r>
  <r>
    <s v="ORD0066"/>
    <d v="2025-02-24T00:00:00"/>
    <x v="1"/>
    <x v="9"/>
    <x v="2"/>
    <x v="15"/>
    <x v="11"/>
    <n v="257.19"/>
    <x v="65"/>
    <n v="264.48"/>
  </r>
  <r>
    <s v="ORD0067"/>
    <d v="2025-06-02T00:00:00"/>
    <x v="0"/>
    <x v="2"/>
    <x v="1"/>
    <x v="1"/>
    <x v="22"/>
    <n v="368.73"/>
    <x v="66"/>
    <n v="3130.23"/>
  </r>
  <r>
    <s v="ORD0068"/>
    <d v="2025-04-03T00:00:00"/>
    <x v="2"/>
    <x v="5"/>
    <x v="2"/>
    <x v="15"/>
    <x v="35"/>
    <n v="872.58"/>
    <x v="67"/>
    <n v="13039.41"/>
  </r>
  <r>
    <s v="ORD0069"/>
    <d v="2025-02-27T00:00:00"/>
    <x v="2"/>
    <x v="4"/>
    <x v="1"/>
    <x v="1"/>
    <x v="36"/>
    <n v="317.44"/>
    <x v="68"/>
    <n v="2039.87"/>
  </r>
  <r>
    <s v="ORD0070"/>
    <d v="2025-04-08T00:00:00"/>
    <x v="0"/>
    <x v="5"/>
    <x v="1"/>
    <x v="4"/>
    <x v="37"/>
    <n v="84.88"/>
    <x v="69"/>
    <n v="1116.8800000000001"/>
  </r>
  <r>
    <s v="ORD0071"/>
    <d v="2025-03-28T00:00:00"/>
    <x v="2"/>
    <x v="3"/>
    <x v="1"/>
    <x v="2"/>
    <x v="3"/>
    <n v="209.18"/>
    <x v="70"/>
    <n v="2925.94"/>
  </r>
  <r>
    <s v="ORD0072"/>
    <d v="2025-06-09T00:00:00"/>
    <x v="1"/>
    <x v="6"/>
    <x v="3"/>
    <x v="6"/>
    <x v="38"/>
    <n v="200.85"/>
    <x v="71"/>
    <n v="389.15"/>
  </r>
  <r>
    <s v="ORD0073"/>
    <d v="2025-02-02T00:00:00"/>
    <x v="3"/>
    <x v="7"/>
    <x v="0"/>
    <x v="5"/>
    <x v="33"/>
    <n v="47.68"/>
    <x v="72"/>
    <n v="197.56"/>
  </r>
  <r>
    <s v="ORD0074"/>
    <d v="2025-03-14T00:00:00"/>
    <x v="1"/>
    <x v="4"/>
    <x v="0"/>
    <x v="14"/>
    <x v="37"/>
    <n v="134.77000000000001"/>
    <x v="73"/>
    <n v="1191.8499999999999"/>
  </r>
  <r>
    <s v="ORD0075"/>
    <d v="2025-05-09T00:00:00"/>
    <x v="1"/>
    <x v="5"/>
    <x v="3"/>
    <x v="10"/>
    <x v="39"/>
    <n v="31.81"/>
    <x v="74"/>
    <n v="425.55"/>
  </r>
  <r>
    <s v="ORD0076"/>
    <d v="2025-07-28T00:00:00"/>
    <x v="3"/>
    <x v="7"/>
    <x v="3"/>
    <x v="6"/>
    <x v="29"/>
    <n v="531.32000000000005"/>
    <x v="75"/>
    <n v="6025.01"/>
  </r>
  <r>
    <s v="ORD0077"/>
    <d v="2025-03-20T00:00:00"/>
    <x v="3"/>
    <x v="3"/>
    <x v="1"/>
    <x v="1"/>
    <x v="38"/>
    <n v="177.35"/>
    <x v="76"/>
    <n v="395.61"/>
  </r>
  <r>
    <s v="ORD0078"/>
    <d v="2025-02-22T00:00:00"/>
    <x v="1"/>
    <x v="8"/>
    <x v="2"/>
    <x v="8"/>
    <x v="28"/>
    <n v="556"/>
    <x v="77"/>
    <n v="4684.63"/>
  </r>
  <r>
    <s v="ORD0079"/>
    <d v="2025-03-15T00:00:00"/>
    <x v="0"/>
    <x v="9"/>
    <x v="2"/>
    <x v="12"/>
    <x v="30"/>
    <n v="130.11000000000001"/>
    <x v="78"/>
    <n v="2102.9299999999998"/>
  </r>
  <r>
    <s v="ORD0080"/>
    <d v="2025-04-24T00:00:00"/>
    <x v="3"/>
    <x v="9"/>
    <x v="1"/>
    <x v="7"/>
    <x v="22"/>
    <n v="181.48"/>
    <x v="79"/>
    <n v="1006.87"/>
  </r>
  <r>
    <s v="ORD0081"/>
    <d v="2025-07-01T00:00:00"/>
    <x v="3"/>
    <x v="2"/>
    <x v="0"/>
    <x v="14"/>
    <x v="40"/>
    <n v="950.31"/>
    <x v="80"/>
    <n v="1435.04"/>
  </r>
  <r>
    <s v="ORD0082"/>
    <d v="2025-04-12T00:00:00"/>
    <x v="3"/>
    <x v="3"/>
    <x v="2"/>
    <x v="8"/>
    <x v="5"/>
    <n v="281.67"/>
    <x v="81"/>
    <n v="4032.16"/>
  </r>
  <r>
    <s v="ORD0083"/>
    <d v="2025-04-10T00:00:00"/>
    <x v="2"/>
    <x v="7"/>
    <x v="0"/>
    <x v="9"/>
    <x v="12"/>
    <n v="269.27999999999997"/>
    <x v="82"/>
    <n v="827.25"/>
  </r>
  <r>
    <s v="ORD0084"/>
    <d v="2025-03-11T00:00:00"/>
    <x v="0"/>
    <x v="4"/>
    <x v="2"/>
    <x v="8"/>
    <x v="41"/>
    <n v="856.72"/>
    <x v="83"/>
    <n v="3844.03"/>
  </r>
  <r>
    <s v="ORD0085"/>
    <d v="2025-02-13T00:00:00"/>
    <x v="1"/>
    <x v="3"/>
    <x v="0"/>
    <x v="0"/>
    <x v="10"/>
    <n v="367.98"/>
    <x v="84"/>
    <n v="3498.9"/>
  </r>
  <r>
    <s v="ORD0086"/>
    <d v="2025-07-14T00:00:00"/>
    <x v="1"/>
    <x v="8"/>
    <x v="0"/>
    <x v="5"/>
    <x v="41"/>
    <n v="449.14"/>
    <x v="85"/>
    <n v="3626.54"/>
  </r>
  <r>
    <s v="ORD0087"/>
    <d v="2025-02-20T00:00:00"/>
    <x v="2"/>
    <x v="3"/>
    <x v="3"/>
    <x v="13"/>
    <x v="37"/>
    <n v="874.81"/>
    <x v="86"/>
    <n v="11759.34"/>
  </r>
  <r>
    <s v="ORD0088"/>
    <d v="2025-06-19T00:00:00"/>
    <x v="3"/>
    <x v="9"/>
    <x v="3"/>
    <x v="11"/>
    <x v="39"/>
    <n v="10.41"/>
    <x v="87"/>
    <n v="89.25"/>
  </r>
  <r>
    <s v="ORD0089"/>
    <d v="2025-07-14T00:00:00"/>
    <x v="0"/>
    <x v="7"/>
    <x v="2"/>
    <x v="12"/>
    <x v="6"/>
    <n v="328.78"/>
    <x v="88"/>
    <n v="2673.7"/>
  </r>
  <r>
    <s v="ORD0090"/>
    <d v="2025-07-14T00:00:00"/>
    <x v="0"/>
    <x v="1"/>
    <x v="3"/>
    <x v="13"/>
    <x v="8"/>
    <n v="161.06"/>
    <x v="89"/>
    <n v="752.34"/>
  </r>
  <r>
    <s v="ORD0091"/>
    <d v="2025-02-24T00:00:00"/>
    <x v="0"/>
    <x v="2"/>
    <x v="3"/>
    <x v="13"/>
    <x v="0"/>
    <n v="922.11"/>
    <x v="90"/>
    <n v="5250.81"/>
  </r>
  <r>
    <s v="ORD0092"/>
    <d v="2025-03-17T00:00:00"/>
    <x v="1"/>
    <x v="4"/>
    <x v="3"/>
    <x v="10"/>
    <x v="14"/>
    <n v="862.98"/>
    <x v="91"/>
    <n v="4712.3900000000003"/>
  </r>
  <r>
    <s v="ORD0093"/>
    <d v="2025-06-11T00:00:00"/>
    <x v="1"/>
    <x v="8"/>
    <x v="0"/>
    <x v="9"/>
    <x v="34"/>
    <n v="998.77"/>
    <x v="92"/>
    <n v="3017.37"/>
  </r>
  <r>
    <s v="ORD0094"/>
    <d v="2025-04-09T00:00:00"/>
    <x v="0"/>
    <x v="2"/>
    <x v="0"/>
    <x v="0"/>
    <x v="12"/>
    <n v="798.52"/>
    <x v="93"/>
    <n v="4314.75"/>
  </r>
  <r>
    <s v="ORD0095"/>
    <d v="2025-04-19T00:00:00"/>
    <x v="3"/>
    <x v="7"/>
    <x v="2"/>
    <x v="12"/>
    <x v="42"/>
    <n v="555.20000000000005"/>
    <x v="94"/>
    <n v="939.19"/>
  </r>
  <r>
    <s v="ORD0096"/>
    <d v="2025-05-11T00:00:00"/>
    <x v="2"/>
    <x v="4"/>
    <x v="0"/>
    <x v="5"/>
    <x v="11"/>
    <n v="350.84"/>
    <x v="95"/>
    <n v="151.88999999999999"/>
  </r>
  <r>
    <s v="ORD0097"/>
    <d v="2025-04-05T00:00:00"/>
    <x v="2"/>
    <x v="4"/>
    <x v="3"/>
    <x v="10"/>
    <x v="23"/>
    <n v="439.29"/>
    <x v="96"/>
    <n v="946.6"/>
  </r>
  <r>
    <s v="ORD0098"/>
    <d v="2025-03-17T00:00:00"/>
    <x v="1"/>
    <x v="8"/>
    <x v="1"/>
    <x v="7"/>
    <x v="43"/>
    <n v="78.959999999999994"/>
    <x v="97"/>
    <n v="348.1"/>
  </r>
  <r>
    <s v="ORD0099"/>
    <d v="2025-04-08T00:00:00"/>
    <x v="1"/>
    <x v="9"/>
    <x v="1"/>
    <x v="4"/>
    <x v="5"/>
    <n v="44.78"/>
    <x v="98"/>
    <n v="384.73"/>
  </r>
  <r>
    <s v="ORD0100"/>
    <d v="2025-05-07T00:00:00"/>
    <x v="3"/>
    <x v="1"/>
    <x v="3"/>
    <x v="13"/>
    <x v="30"/>
    <n v="412.29"/>
    <x v="99"/>
    <n v="4783.45"/>
  </r>
  <r>
    <s v="ORD0101"/>
    <d v="2025-02-03T00:00:00"/>
    <x v="3"/>
    <x v="6"/>
    <x v="3"/>
    <x v="6"/>
    <x v="26"/>
    <n v="569.14"/>
    <x v="100"/>
    <n v="5651.02"/>
  </r>
  <r>
    <s v="ORD0102"/>
    <d v="2025-07-23T00:00:00"/>
    <x v="3"/>
    <x v="7"/>
    <x v="1"/>
    <x v="4"/>
    <x v="40"/>
    <n v="765.95"/>
    <x v="101"/>
    <n v="2116.64"/>
  </r>
  <r>
    <s v="ORD0103"/>
    <d v="2025-02-10T00:00:00"/>
    <x v="3"/>
    <x v="4"/>
    <x v="0"/>
    <x v="0"/>
    <x v="34"/>
    <n v="41.84"/>
    <x v="102"/>
    <n v="388.76"/>
  </r>
  <r>
    <s v="ORD0104"/>
    <d v="2025-03-17T00:00:00"/>
    <x v="2"/>
    <x v="7"/>
    <x v="1"/>
    <x v="1"/>
    <x v="10"/>
    <n v="787.42"/>
    <x v="103"/>
    <n v="10375.459999999999"/>
  </r>
  <r>
    <s v="ORD0105"/>
    <d v="2025-06-30T00:00:00"/>
    <x v="3"/>
    <x v="1"/>
    <x v="1"/>
    <x v="7"/>
    <x v="4"/>
    <n v="218.62"/>
    <x v="104"/>
    <n v="125.55"/>
  </r>
  <r>
    <s v="ORD0106"/>
    <d v="2025-06-22T00:00:00"/>
    <x v="1"/>
    <x v="4"/>
    <x v="2"/>
    <x v="3"/>
    <x v="20"/>
    <n v="899.9"/>
    <x v="105"/>
    <n v="1958.25"/>
  </r>
  <r>
    <s v="ORD0107"/>
    <d v="2025-04-25T00:00:00"/>
    <x v="1"/>
    <x v="4"/>
    <x v="3"/>
    <x v="13"/>
    <x v="41"/>
    <n v="16.72"/>
    <x v="106"/>
    <n v="112"/>
  </r>
  <r>
    <s v="ORD0108"/>
    <d v="2025-02-04T00:00:00"/>
    <x v="3"/>
    <x v="0"/>
    <x v="1"/>
    <x v="2"/>
    <x v="44"/>
    <n v="644.38"/>
    <x v="107"/>
    <n v="4153"/>
  </r>
  <r>
    <s v="ORD0109"/>
    <d v="2025-03-23T00:00:00"/>
    <x v="3"/>
    <x v="4"/>
    <x v="2"/>
    <x v="15"/>
    <x v="33"/>
    <n v="582.73"/>
    <x v="108"/>
    <n v="5216.82"/>
  </r>
  <r>
    <s v="ORD0110"/>
    <d v="2025-04-06T00:00:00"/>
    <x v="0"/>
    <x v="3"/>
    <x v="3"/>
    <x v="11"/>
    <x v="27"/>
    <n v="487.44"/>
    <x v="109"/>
    <n v="8015.13"/>
  </r>
  <r>
    <s v="ORD0111"/>
    <d v="2025-02-24T00:00:00"/>
    <x v="3"/>
    <x v="9"/>
    <x v="1"/>
    <x v="4"/>
    <x v="42"/>
    <n v="934.86"/>
    <x v="110"/>
    <n v="1753.17"/>
  </r>
  <r>
    <s v="ORD0112"/>
    <d v="2025-07-10T00:00:00"/>
    <x v="3"/>
    <x v="1"/>
    <x v="1"/>
    <x v="7"/>
    <x v="18"/>
    <n v="989.68"/>
    <x v="111"/>
    <n v="6979.16"/>
  </r>
  <r>
    <s v="ORD0113"/>
    <d v="2025-02-18T00:00:00"/>
    <x v="2"/>
    <x v="0"/>
    <x v="3"/>
    <x v="10"/>
    <x v="3"/>
    <n v="103.8"/>
    <x v="112"/>
    <n v="1286.6400000000001"/>
  </r>
  <r>
    <s v="ORD0114"/>
    <d v="2025-02-22T00:00:00"/>
    <x v="3"/>
    <x v="8"/>
    <x v="2"/>
    <x v="8"/>
    <x v="44"/>
    <n v="843.2"/>
    <x v="113"/>
    <n v="9421.16"/>
  </r>
  <r>
    <s v="ORD0115"/>
    <d v="2025-06-14T00:00:00"/>
    <x v="3"/>
    <x v="6"/>
    <x v="3"/>
    <x v="10"/>
    <x v="11"/>
    <n v="217.08"/>
    <x v="114"/>
    <n v="108.81"/>
  </r>
  <r>
    <s v="ORD0116"/>
    <d v="2025-02-19T00:00:00"/>
    <x v="2"/>
    <x v="2"/>
    <x v="3"/>
    <x v="10"/>
    <x v="43"/>
    <n v="47.46"/>
    <x v="115"/>
    <n v="342.73"/>
  </r>
  <r>
    <s v="ORD0117"/>
    <d v="2025-05-14T00:00:00"/>
    <x v="1"/>
    <x v="2"/>
    <x v="2"/>
    <x v="3"/>
    <x v="9"/>
    <n v="97.23"/>
    <x v="116"/>
    <n v="762.03"/>
  </r>
  <r>
    <s v="ORD0118"/>
    <d v="2025-03-10T00:00:00"/>
    <x v="3"/>
    <x v="4"/>
    <x v="2"/>
    <x v="3"/>
    <x v="21"/>
    <n v="772.42"/>
    <x v="117"/>
    <n v="6856.41"/>
  </r>
  <r>
    <s v="ORD0119"/>
    <d v="2025-03-12T00:00:00"/>
    <x v="3"/>
    <x v="9"/>
    <x v="3"/>
    <x v="13"/>
    <x v="10"/>
    <n v="406.22"/>
    <x v="118"/>
    <n v="1725.64"/>
  </r>
  <r>
    <s v="ORD0120"/>
    <d v="2025-03-08T00:00:00"/>
    <x v="0"/>
    <x v="4"/>
    <x v="1"/>
    <x v="2"/>
    <x v="3"/>
    <n v="772.05"/>
    <x v="119"/>
    <n v="10848.81"/>
  </r>
  <r>
    <s v="ORD0121"/>
    <d v="2025-04-10T00:00:00"/>
    <x v="2"/>
    <x v="8"/>
    <x v="0"/>
    <x v="5"/>
    <x v="19"/>
    <n v="535.37"/>
    <x v="120"/>
    <n v="5428.31"/>
  </r>
  <r>
    <s v="ORD0122"/>
    <d v="2025-07-15T00:00:00"/>
    <x v="0"/>
    <x v="4"/>
    <x v="2"/>
    <x v="8"/>
    <x v="19"/>
    <n v="186.06"/>
    <x v="121"/>
    <n v="1662.31"/>
  </r>
  <r>
    <s v="ORD0123"/>
    <d v="2025-03-06T00:00:00"/>
    <x v="0"/>
    <x v="1"/>
    <x v="1"/>
    <x v="2"/>
    <x v="3"/>
    <n v="354.17"/>
    <x v="122"/>
    <n v="1471.86"/>
  </r>
  <r>
    <s v="ORD0124"/>
    <d v="2025-03-19T00:00:00"/>
    <x v="2"/>
    <x v="5"/>
    <x v="1"/>
    <x v="4"/>
    <x v="27"/>
    <n v="778.6"/>
    <x v="123"/>
    <n v="9782.51"/>
  </r>
  <r>
    <s v="ORD0125"/>
    <d v="2025-03-04T00:00:00"/>
    <x v="1"/>
    <x v="4"/>
    <x v="2"/>
    <x v="3"/>
    <x v="45"/>
    <n v="925.79"/>
    <x v="124"/>
    <n v="10923.41"/>
  </r>
  <r>
    <s v="ORD0126"/>
    <d v="2025-07-20T00:00:00"/>
    <x v="2"/>
    <x v="7"/>
    <x v="3"/>
    <x v="13"/>
    <x v="0"/>
    <n v="727.97"/>
    <x v="125"/>
    <n v="4830.82"/>
  </r>
  <r>
    <s v="ORD0127"/>
    <d v="2025-06-28T00:00:00"/>
    <x v="3"/>
    <x v="4"/>
    <x v="0"/>
    <x v="14"/>
    <x v="11"/>
    <n v="72.66"/>
    <x v="126"/>
    <n v="29.4"/>
  </r>
  <r>
    <s v="ORD0128"/>
    <d v="2025-06-11T00:00:00"/>
    <x v="0"/>
    <x v="1"/>
    <x v="2"/>
    <x v="3"/>
    <x v="42"/>
    <n v="30.35"/>
    <x v="127"/>
    <n v="77.180000000000007"/>
  </r>
  <r>
    <s v="ORD0129"/>
    <d v="2025-07-11T00:00:00"/>
    <x v="0"/>
    <x v="7"/>
    <x v="3"/>
    <x v="13"/>
    <x v="46"/>
    <n v="201.06"/>
    <x v="128"/>
    <n v="145.09"/>
  </r>
  <r>
    <s v="ORD0130"/>
    <d v="2025-06-17T00:00:00"/>
    <x v="2"/>
    <x v="8"/>
    <x v="1"/>
    <x v="4"/>
    <x v="44"/>
    <n v="719.12"/>
    <x v="129"/>
    <n v="5534.49"/>
  </r>
  <r>
    <s v="ORD0131"/>
    <d v="2025-06-02T00:00:00"/>
    <x v="1"/>
    <x v="5"/>
    <x v="1"/>
    <x v="7"/>
    <x v="37"/>
    <n v="166.57"/>
    <x v="130"/>
    <n v="1985.95"/>
  </r>
  <r>
    <s v="ORD0132"/>
    <d v="2025-03-24T00:00:00"/>
    <x v="0"/>
    <x v="3"/>
    <x v="0"/>
    <x v="9"/>
    <x v="16"/>
    <n v="32.29"/>
    <x v="131"/>
    <n v="182.64"/>
  </r>
  <r>
    <s v="ORD0133"/>
    <d v="2025-04-10T00:00:00"/>
    <x v="3"/>
    <x v="1"/>
    <x v="3"/>
    <x v="13"/>
    <x v="28"/>
    <n v="582.79999999999995"/>
    <x v="132"/>
    <n v="3969.89"/>
  </r>
  <r>
    <s v="ORD0134"/>
    <d v="2025-07-11T00:00:00"/>
    <x v="3"/>
    <x v="9"/>
    <x v="2"/>
    <x v="3"/>
    <x v="6"/>
    <n v="694.04"/>
    <x v="133"/>
    <n v="3530.7"/>
  </r>
  <r>
    <s v="ORD0135"/>
    <d v="2025-03-17T00:00:00"/>
    <x v="1"/>
    <x v="3"/>
    <x v="1"/>
    <x v="4"/>
    <x v="22"/>
    <n v="181.53"/>
    <x v="134"/>
    <n v="1564.78"/>
  </r>
  <r>
    <s v="ORD0136"/>
    <d v="2025-03-09T00:00:00"/>
    <x v="2"/>
    <x v="9"/>
    <x v="1"/>
    <x v="1"/>
    <x v="10"/>
    <n v="420.8"/>
    <x v="135"/>
    <n v="2894.02"/>
  </r>
  <r>
    <s v="ORD0137"/>
    <d v="2025-05-25T00:00:00"/>
    <x v="1"/>
    <x v="2"/>
    <x v="3"/>
    <x v="11"/>
    <x v="16"/>
    <n v="607"/>
    <x v="136"/>
    <n v="6003.91"/>
  </r>
  <r>
    <s v="ORD0138"/>
    <d v="2025-04-30T00:00:00"/>
    <x v="2"/>
    <x v="8"/>
    <x v="2"/>
    <x v="8"/>
    <x v="9"/>
    <n v="218.24"/>
    <x v="137"/>
    <n v="1474.4"/>
  </r>
  <r>
    <s v="ORD0139"/>
    <d v="2025-07-30T00:00:00"/>
    <x v="1"/>
    <x v="9"/>
    <x v="2"/>
    <x v="12"/>
    <x v="43"/>
    <n v="734.84"/>
    <x v="138"/>
    <n v="8963.7900000000009"/>
  </r>
  <r>
    <s v="ORD0140"/>
    <d v="2025-03-26T00:00:00"/>
    <x v="3"/>
    <x v="9"/>
    <x v="3"/>
    <x v="6"/>
    <x v="29"/>
    <n v="525.79999999999995"/>
    <x v="139"/>
    <n v="8157.7"/>
  </r>
  <r>
    <s v="ORD0141"/>
    <d v="2025-05-02T00:00:00"/>
    <x v="1"/>
    <x v="0"/>
    <x v="2"/>
    <x v="15"/>
    <x v="14"/>
    <n v="750.62"/>
    <x v="140"/>
    <n v="10129.16"/>
  </r>
  <r>
    <s v="ORD0142"/>
    <d v="2025-06-02T00:00:00"/>
    <x v="2"/>
    <x v="5"/>
    <x v="2"/>
    <x v="12"/>
    <x v="29"/>
    <n v="223.74"/>
    <x v="141"/>
    <n v="3201.29"/>
  </r>
  <r>
    <s v="ORD0143"/>
    <d v="2025-05-21T00:00:00"/>
    <x v="0"/>
    <x v="1"/>
    <x v="1"/>
    <x v="2"/>
    <x v="16"/>
    <n v="683.37"/>
    <x v="142"/>
    <n v="7073.39"/>
  </r>
  <r>
    <s v="ORD0144"/>
    <d v="2025-02-02T00:00:00"/>
    <x v="2"/>
    <x v="8"/>
    <x v="3"/>
    <x v="13"/>
    <x v="31"/>
    <n v="237.54"/>
    <x v="143"/>
    <n v="3223.64"/>
  </r>
  <r>
    <s v="ORD0145"/>
    <d v="2025-02-19T00:00:00"/>
    <x v="2"/>
    <x v="5"/>
    <x v="3"/>
    <x v="11"/>
    <x v="37"/>
    <n v="488.82"/>
    <x v="144"/>
    <n v="6389.53"/>
  </r>
  <r>
    <s v="ORD0146"/>
    <d v="2025-03-05T00:00:00"/>
    <x v="0"/>
    <x v="3"/>
    <x v="0"/>
    <x v="0"/>
    <x v="43"/>
    <n v="642.39"/>
    <x v="145"/>
    <n v="5132.38"/>
  </r>
  <r>
    <s v="ORD0147"/>
    <d v="2025-04-04T00:00:00"/>
    <x v="2"/>
    <x v="0"/>
    <x v="1"/>
    <x v="7"/>
    <x v="42"/>
    <n v="217.18"/>
    <x v="146"/>
    <n v="677.59"/>
  </r>
  <r>
    <s v="ORD0148"/>
    <d v="2025-05-22T00:00:00"/>
    <x v="2"/>
    <x v="8"/>
    <x v="1"/>
    <x v="4"/>
    <x v="18"/>
    <n v="696.4"/>
    <x v="147"/>
    <n v="4448.8"/>
  </r>
  <r>
    <s v="ORD0149"/>
    <d v="2025-07-19T00:00:00"/>
    <x v="3"/>
    <x v="1"/>
    <x v="1"/>
    <x v="2"/>
    <x v="21"/>
    <n v="140.04"/>
    <x v="148"/>
    <n v="2404.8000000000002"/>
  </r>
  <r>
    <s v="ORD0150"/>
    <d v="2025-05-01T00:00:00"/>
    <x v="1"/>
    <x v="5"/>
    <x v="3"/>
    <x v="10"/>
    <x v="45"/>
    <n v="726.45"/>
    <x v="149"/>
    <n v="8579.66"/>
  </r>
  <r>
    <s v="ORD0151"/>
    <d v="2025-07-20T00:00:00"/>
    <x v="3"/>
    <x v="1"/>
    <x v="3"/>
    <x v="11"/>
    <x v="47"/>
    <n v="994.93"/>
    <x v="150"/>
    <n v="6839.89"/>
  </r>
  <r>
    <s v="ORD0152"/>
    <d v="2025-07-20T00:00:00"/>
    <x v="3"/>
    <x v="2"/>
    <x v="0"/>
    <x v="0"/>
    <x v="2"/>
    <n v="351.84"/>
    <x v="151"/>
    <n v="4146.3599999999997"/>
  </r>
  <r>
    <s v="ORD0153"/>
    <d v="2025-02-08T00:00:00"/>
    <x v="2"/>
    <x v="4"/>
    <x v="0"/>
    <x v="5"/>
    <x v="34"/>
    <n v="409.77"/>
    <x v="152"/>
    <n v="3852.24"/>
  </r>
  <r>
    <s v="ORD0154"/>
    <d v="2025-06-16T00:00:00"/>
    <x v="0"/>
    <x v="7"/>
    <x v="0"/>
    <x v="9"/>
    <x v="2"/>
    <n v="832.97"/>
    <x v="153"/>
    <n v="4712.99"/>
  </r>
  <r>
    <s v="ORD0155"/>
    <d v="2025-05-15T00:00:00"/>
    <x v="0"/>
    <x v="9"/>
    <x v="0"/>
    <x v="0"/>
    <x v="28"/>
    <n v="261.95999999999998"/>
    <x v="154"/>
    <n v="2573.1"/>
  </r>
  <r>
    <s v="ORD0156"/>
    <d v="2025-06-18T00:00:00"/>
    <x v="0"/>
    <x v="2"/>
    <x v="2"/>
    <x v="15"/>
    <x v="36"/>
    <n v="543.52"/>
    <x v="155"/>
    <n v="2968.8"/>
  </r>
  <r>
    <s v="ORD0157"/>
    <d v="2025-06-30T00:00:00"/>
    <x v="1"/>
    <x v="6"/>
    <x v="1"/>
    <x v="4"/>
    <x v="48"/>
    <n v="795.34"/>
    <x v="156"/>
    <n v="4211.87"/>
  </r>
  <r>
    <s v="ORD0158"/>
    <d v="2025-02-02T00:00:00"/>
    <x v="2"/>
    <x v="5"/>
    <x v="2"/>
    <x v="12"/>
    <x v="34"/>
    <n v="412.76"/>
    <x v="157"/>
    <n v="4147.76"/>
  </r>
  <r>
    <s v="ORD0159"/>
    <d v="2025-03-03T00:00:00"/>
    <x v="2"/>
    <x v="2"/>
    <x v="3"/>
    <x v="13"/>
    <x v="27"/>
    <n v="528.49"/>
    <x v="158"/>
    <n v="3001.06"/>
  </r>
  <r>
    <s v="ORD0160"/>
    <d v="2025-02-20T00:00:00"/>
    <x v="1"/>
    <x v="1"/>
    <x v="0"/>
    <x v="5"/>
    <x v="16"/>
    <n v="67.849999999999994"/>
    <x v="159"/>
    <n v="600.5"/>
  </r>
  <r>
    <s v="ORD0161"/>
    <d v="2025-04-14T00:00:00"/>
    <x v="1"/>
    <x v="3"/>
    <x v="1"/>
    <x v="1"/>
    <x v="31"/>
    <n v="200.57"/>
    <x v="160"/>
    <n v="1035.5899999999999"/>
  </r>
  <r>
    <s v="ORD0162"/>
    <d v="2025-06-01T00:00:00"/>
    <x v="2"/>
    <x v="6"/>
    <x v="1"/>
    <x v="2"/>
    <x v="0"/>
    <n v="940.49"/>
    <x v="161"/>
    <n v="5312.92"/>
  </r>
  <r>
    <s v="ORD0163"/>
    <d v="2025-04-02T00:00:00"/>
    <x v="0"/>
    <x v="7"/>
    <x v="1"/>
    <x v="7"/>
    <x v="9"/>
    <n v="367.22"/>
    <x v="162"/>
    <n v="2173.3000000000002"/>
  </r>
  <r>
    <s v="ORD0164"/>
    <d v="2025-04-02T00:00:00"/>
    <x v="2"/>
    <x v="7"/>
    <x v="3"/>
    <x v="13"/>
    <x v="9"/>
    <n v="955.76"/>
    <x v="163"/>
    <n v="7913.23"/>
  </r>
  <r>
    <s v="ORD0165"/>
    <d v="2025-06-10T00:00:00"/>
    <x v="2"/>
    <x v="5"/>
    <x v="1"/>
    <x v="7"/>
    <x v="19"/>
    <n v="191.78"/>
    <x v="164"/>
    <n v="1265.57"/>
  </r>
  <r>
    <s v="ORD0166"/>
    <d v="2025-02-15T00:00:00"/>
    <x v="2"/>
    <x v="6"/>
    <x v="0"/>
    <x v="9"/>
    <x v="34"/>
    <n v="586.41999999999996"/>
    <x v="165"/>
    <n v="3673.62"/>
  </r>
  <r>
    <s v="ORD0167"/>
    <d v="2025-06-05T00:00:00"/>
    <x v="1"/>
    <x v="1"/>
    <x v="2"/>
    <x v="12"/>
    <x v="45"/>
    <n v="843.69"/>
    <x v="166"/>
    <n v="3809.45"/>
  </r>
  <r>
    <s v="ORD0168"/>
    <d v="2025-05-26T00:00:00"/>
    <x v="2"/>
    <x v="5"/>
    <x v="2"/>
    <x v="12"/>
    <x v="18"/>
    <n v="533.16"/>
    <x v="167"/>
    <n v="2966.52"/>
  </r>
  <r>
    <s v="ORD0169"/>
    <d v="2025-07-31T00:00:00"/>
    <x v="2"/>
    <x v="3"/>
    <x v="0"/>
    <x v="0"/>
    <x v="24"/>
    <n v="370.67"/>
    <x v="168"/>
    <n v="2745.48"/>
  </r>
  <r>
    <s v="ORD0170"/>
    <d v="2025-06-07T00:00:00"/>
    <x v="0"/>
    <x v="6"/>
    <x v="3"/>
    <x v="10"/>
    <x v="15"/>
    <n v="173.16"/>
    <x v="169"/>
    <n v="464.79"/>
  </r>
  <r>
    <s v="ORD0171"/>
    <d v="2025-04-06T00:00:00"/>
    <x v="2"/>
    <x v="0"/>
    <x v="3"/>
    <x v="10"/>
    <x v="46"/>
    <n v="443.1"/>
    <x v="170"/>
    <n v="211.95"/>
  </r>
  <r>
    <s v="ORD0172"/>
    <d v="2025-07-19T00:00:00"/>
    <x v="3"/>
    <x v="2"/>
    <x v="0"/>
    <x v="5"/>
    <x v="39"/>
    <n v="880.5"/>
    <x v="171"/>
    <n v="13974.64"/>
  </r>
  <r>
    <s v="ORD0173"/>
    <d v="2025-02-08T00:00:00"/>
    <x v="1"/>
    <x v="2"/>
    <x v="3"/>
    <x v="6"/>
    <x v="0"/>
    <n v="434.88"/>
    <x v="172"/>
    <n v="1277.31"/>
  </r>
  <r>
    <s v="ORD0174"/>
    <d v="2025-05-24T00:00:00"/>
    <x v="3"/>
    <x v="8"/>
    <x v="2"/>
    <x v="15"/>
    <x v="37"/>
    <n v="290.39"/>
    <x v="173"/>
    <n v="2463.1799999999998"/>
  </r>
  <r>
    <s v="ORD0175"/>
    <d v="2025-04-05T00:00:00"/>
    <x v="1"/>
    <x v="6"/>
    <x v="0"/>
    <x v="14"/>
    <x v="49"/>
    <n v="576.29"/>
    <x v="174"/>
    <n v="432.92"/>
  </r>
  <r>
    <s v="ORD0176"/>
    <d v="2025-07-03T00:00:00"/>
    <x v="2"/>
    <x v="3"/>
    <x v="1"/>
    <x v="1"/>
    <x v="27"/>
    <n v="525.82000000000005"/>
    <x v="175"/>
    <n v="9124.4500000000007"/>
  </r>
  <r>
    <s v="ORD0177"/>
    <d v="2025-05-27T00:00:00"/>
    <x v="0"/>
    <x v="3"/>
    <x v="1"/>
    <x v="7"/>
    <x v="25"/>
    <n v="53.73"/>
    <x v="176"/>
    <n v="83.6"/>
  </r>
  <r>
    <s v="ORD0178"/>
    <d v="2025-06-03T00:00:00"/>
    <x v="3"/>
    <x v="6"/>
    <x v="2"/>
    <x v="15"/>
    <x v="34"/>
    <n v="664.81"/>
    <x v="177"/>
    <n v="4393.83"/>
  </r>
  <r>
    <s v="ORD0179"/>
    <d v="2025-07-16T00:00:00"/>
    <x v="2"/>
    <x v="6"/>
    <x v="3"/>
    <x v="11"/>
    <x v="13"/>
    <n v="895.99"/>
    <x v="178"/>
    <n v="4165.88"/>
  </r>
  <r>
    <s v="ORD0180"/>
    <d v="2025-05-01T00:00:00"/>
    <x v="3"/>
    <x v="8"/>
    <x v="3"/>
    <x v="11"/>
    <x v="30"/>
    <n v="265.91000000000003"/>
    <x v="179"/>
    <n v="3136.49"/>
  </r>
  <r>
    <s v="ORD0181"/>
    <d v="2025-07-12T00:00:00"/>
    <x v="0"/>
    <x v="8"/>
    <x v="0"/>
    <x v="14"/>
    <x v="20"/>
    <n v="734.89"/>
    <x v="180"/>
    <n v="1033.55"/>
  </r>
  <r>
    <s v="ORD0182"/>
    <d v="2025-07-20T00:00:00"/>
    <x v="0"/>
    <x v="7"/>
    <x v="2"/>
    <x v="15"/>
    <x v="38"/>
    <n v="606.97"/>
    <x v="181"/>
    <n v="2315.41"/>
  </r>
  <r>
    <s v="ORD0183"/>
    <d v="2025-04-15T00:00:00"/>
    <x v="2"/>
    <x v="8"/>
    <x v="0"/>
    <x v="14"/>
    <x v="11"/>
    <n v="199.49"/>
    <x v="182"/>
    <n v="158.01"/>
  </r>
  <r>
    <s v="ORD0184"/>
    <d v="2025-05-01T00:00:00"/>
    <x v="0"/>
    <x v="3"/>
    <x v="0"/>
    <x v="9"/>
    <x v="44"/>
    <n v="835.59"/>
    <x v="183"/>
    <n v="8446.56"/>
  </r>
  <r>
    <s v="ORD0185"/>
    <d v="2025-04-04T00:00:00"/>
    <x v="3"/>
    <x v="2"/>
    <x v="0"/>
    <x v="14"/>
    <x v="26"/>
    <n v="829.36"/>
    <x v="184"/>
    <n v="11792.01"/>
  </r>
  <r>
    <s v="ORD0186"/>
    <d v="2025-05-31T00:00:00"/>
    <x v="2"/>
    <x v="3"/>
    <x v="1"/>
    <x v="2"/>
    <x v="28"/>
    <n v="174.96"/>
    <x v="185"/>
    <n v="595.08000000000004"/>
  </r>
  <r>
    <s v="ORD0187"/>
    <d v="2025-04-30T00:00:00"/>
    <x v="1"/>
    <x v="5"/>
    <x v="1"/>
    <x v="1"/>
    <x v="9"/>
    <n v="844.55"/>
    <x v="186"/>
    <n v="4913.1099999999997"/>
  </r>
  <r>
    <s v="ORD0188"/>
    <d v="2025-07-11T00:00:00"/>
    <x v="0"/>
    <x v="8"/>
    <x v="3"/>
    <x v="6"/>
    <x v="20"/>
    <n v="522.74"/>
    <x v="187"/>
    <n v="1344.2"/>
  </r>
  <r>
    <s v="ORD0189"/>
    <d v="2025-07-27T00:00:00"/>
    <x v="0"/>
    <x v="7"/>
    <x v="2"/>
    <x v="8"/>
    <x v="28"/>
    <n v="208.96"/>
    <x v="188"/>
    <n v="737.93"/>
  </r>
  <r>
    <s v="ORD0190"/>
    <d v="2025-07-22T00:00:00"/>
    <x v="1"/>
    <x v="6"/>
    <x v="2"/>
    <x v="15"/>
    <x v="11"/>
    <n v="600.57000000000005"/>
    <x v="189"/>
    <n v="685.64"/>
  </r>
  <r>
    <s v="ORD0191"/>
    <d v="2025-04-08T00:00:00"/>
    <x v="1"/>
    <x v="9"/>
    <x v="3"/>
    <x v="13"/>
    <x v="9"/>
    <n v="661.2"/>
    <x v="190"/>
    <n v="6152.33"/>
  </r>
  <r>
    <s v="ORD0192"/>
    <d v="2025-03-27T00:00:00"/>
    <x v="0"/>
    <x v="3"/>
    <x v="3"/>
    <x v="10"/>
    <x v="38"/>
    <n v="303.91000000000003"/>
    <x v="191"/>
    <n v="557.45000000000005"/>
  </r>
  <r>
    <s v="ORD0193"/>
    <d v="2025-02-17T00:00:00"/>
    <x v="1"/>
    <x v="5"/>
    <x v="3"/>
    <x v="6"/>
    <x v="5"/>
    <n v="155.33000000000001"/>
    <x v="192"/>
    <n v="1136.8499999999999"/>
  </r>
  <r>
    <s v="ORD0194"/>
    <d v="2025-04-07T00:00:00"/>
    <x v="0"/>
    <x v="7"/>
    <x v="0"/>
    <x v="0"/>
    <x v="18"/>
    <n v="489.26"/>
    <x v="193"/>
    <n v="5552.81"/>
  </r>
  <r>
    <s v="ORD0195"/>
    <d v="2025-07-04T00:00:00"/>
    <x v="0"/>
    <x v="7"/>
    <x v="3"/>
    <x v="13"/>
    <x v="10"/>
    <n v="424.16"/>
    <x v="194"/>
    <n v="2592.58"/>
  </r>
  <r>
    <s v="ORD0196"/>
    <d v="2025-06-17T00:00:00"/>
    <x v="3"/>
    <x v="9"/>
    <x v="1"/>
    <x v="4"/>
    <x v="22"/>
    <n v="815.51"/>
    <x v="195"/>
    <n v="8069.92"/>
  </r>
  <r>
    <s v="ORD0197"/>
    <d v="2025-03-16T00:00:00"/>
    <x v="2"/>
    <x v="6"/>
    <x v="1"/>
    <x v="4"/>
    <x v="48"/>
    <n v="765.27"/>
    <x v="196"/>
    <n v="3955.53"/>
  </r>
  <r>
    <s v="ORD0198"/>
    <d v="2025-05-18T00:00:00"/>
    <x v="2"/>
    <x v="2"/>
    <x v="2"/>
    <x v="12"/>
    <x v="19"/>
    <n v="85.85"/>
    <x v="197"/>
    <n v="726.57"/>
  </r>
  <r>
    <s v="ORD0199"/>
    <d v="2025-07-05T00:00:00"/>
    <x v="0"/>
    <x v="9"/>
    <x v="2"/>
    <x v="8"/>
    <x v="4"/>
    <n v="36.76"/>
    <x v="198"/>
    <n v="60.38"/>
  </r>
  <r>
    <s v="ORD0200"/>
    <d v="2025-02-15T00:00:00"/>
    <x v="1"/>
    <x v="3"/>
    <x v="2"/>
    <x v="15"/>
    <x v="26"/>
    <n v="625.16999999999996"/>
    <x v="199"/>
    <n v="8861.45999999999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5ECBB2-E2BE-450A-9D35-0F4654E3ABE9}"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3:M14" firstHeaderRow="1" firstDataRow="1" firstDataCol="1"/>
  <pivotFields count="10">
    <pivotField showAll="0"/>
    <pivotField numFmtId="164" showAll="0"/>
    <pivotField showAll="0">
      <items count="5">
        <item x="2"/>
        <item x="1"/>
        <item x="3"/>
        <item x="0"/>
        <item t="default"/>
      </items>
    </pivotField>
    <pivotField axis="axisRow" showAll="0">
      <items count="11">
        <item x="6"/>
        <item x="4"/>
        <item x="9"/>
        <item x="3"/>
        <item x="7"/>
        <item x="5"/>
        <item x="8"/>
        <item x="1"/>
        <item x="2"/>
        <item x="0"/>
        <item t="default"/>
      </items>
    </pivotField>
    <pivotField showAll="0">
      <items count="5">
        <item x="0"/>
        <item x="3"/>
        <item x="1"/>
        <item x="2"/>
        <item t="default"/>
      </items>
    </pivotField>
    <pivotField showAll="0">
      <items count="17">
        <item x="2"/>
        <item x="11"/>
        <item x="7"/>
        <item x="5"/>
        <item x="10"/>
        <item x="9"/>
        <item x="14"/>
        <item x="6"/>
        <item x="13"/>
        <item x="12"/>
        <item x="15"/>
        <item x="0"/>
        <item x="8"/>
        <item x="4"/>
        <item x="1"/>
        <item x="3"/>
        <item t="default"/>
      </items>
    </pivotField>
    <pivotField dataField="1" showAll="0">
      <items count="51">
        <item x="17"/>
        <item x="1"/>
        <item x="46"/>
        <item x="11"/>
        <item x="4"/>
        <item x="49"/>
        <item x="15"/>
        <item x="40"/>
        <item x="20"/>
        <item x="38"/>
        <item x="32"/>
        <item x="8"/>
        <item x="25"/>
        <item x="42"/>
        <item x="12"/>
        <item x="7"/>
        <item x="48"/>
        <item x="13"/>
        <item x="23"/>
        <item x="24"/>
        <item x="0"/>
        <item x="6"/>
        <item x="36"/>
        <item x="41"/>
        <item x="9"/>
        <item x="16"/>
        <item x="28"/>
        <item x="34"/>
        <item x="19"/>
        <item x="45"/>
        <item x="22"/>
        <item x="2"/>
        <item x="44"/>
        <item x="33"/>
        <item x="37"/>
        <item x="10"/>
        <item x="43"/>
        <item x="18"/>
        <item x="14"/>
        <item x="39"/>
        <item x="3"/>
        <item x="5"/>
        <item x="21"/>
        <item x="30"/>
        <item x="26"/>
        <item x="27"/>
        <item x="31"/>
        <item x="35"/>
        <item x="47"/>
        <item x="29"/>
        <item t="default"/>
      </items>
    </pivotField>
    <pivotField showAll="0"/>
    <pivotField showAll="0">
      <items count="201">
        <item x="198"/>
        <item x="126"/>
        <item x="106"/>
        <item x="87"/>
        <item x="127"/>
        <item x="47"/>
        <item x="128"/>
        <item x="20"/>
        <item x="176"/>
        <item x="182"/>
        <item x="131"/>
        <item x="114"/>
        <item x="46"/>
        <item x="65"/>
        <item x="1"/>
        <item x="104"/>
        <item x="42"/>
        <item x="24"/>
        <item x="102"/>
        <item x="26"/>
        <item x="169"/>
        <item x="74"/>
        <item x="170"/>
        <item x="95"/>
        <item x="50"/>
        <item x="21"/>
        <item x="72"/>
        <item x="115"/>
        <item x="5"/>
        <item x="159"/>
        <item x="76"/>
        <item x="98"/>
        <item x="89"/>
        <item x="71"/>
        <item x="6"/>
        <item x="12"/>
        <item x="189"/>
        <item x="116"/>
        <item x="197"/>
        <item x="97"/>
        <item x="0"/>
        <item x="69"/>
        <item x="191"/>
        <item x="146"/>
        <item x="39"/>
        <item x="11"/>
        <item x="174"/>
        <item x="59"/>
        <item x="30"/>
        <item x="35"/>
        <item x="23"/>
        <item x="82"/>
        <item x="112"/>
        <item x="4"/>
        <item x="54"/>
        <item x="187"/>
        <item x="73"/>
        <item x="185"/>
        <item x="62"/>
        <item x="121"/>
        <item x="137"/>
        <item x="164"/>
        <item x="79"/>
        <item x="134"/>
        <item x="188"/>
        <item x="18"/>
        <item x="78"/>
        <item x="130"/>
        <item x="25"/>
        <item x="148"/>
        <item x="32"/>
        <item x="181"/>
        <item x="101"/>
        <item x="192"/>
        <item x="180"/>
        <item x="8"/>
        <item x="29"/>
        <item x="41"/>
        <item x="34"/>
        <item x="154"/>
        <item x="88"/>
        <item x="68"/>
        <item x="168"/>
        <item x="80"/>
        <item x="94"/>
        <item x="63"/>
        <item x="105"/>
        <item x="96"/>
        <item x="15"/>
        <item x="13"/>
        <item x="70"/>
        <item x="172"/>
        <item x="162"/>
        <item x="160"/>
        <item x="33"/>
        <item x="60"/>
        <item x="52"/>
        <item x="173"/>
        <item x="85"/>
        <item x="45"/>
        <item x="44"/>
        <item x="143"/>
        <item x="141"/>
        <item x="151"/>
        <item x="37"/>
        <item x="66"/>
        <item x="152"/>
        <item x="157"/>
        <item x="179"/>
        <item x="81"/>
        <item x="93"/>
        <item x="155"/>
        <item x="196"/>
        <item x="110"/>
        <item x="9"/>
        <item x="84"/>
        <item x="156"/>
        <item x="56"/>
        <item x="14"/>
        <item x="57"/>
        <item x="2"/>
        <item x="64"/>
        <item x="122"/>
        <item x="118"/>
        <item x="7"/>
        <item x="77"/>
        <item x="135"/>
        <item x="133"/>
        <item x="194"/>
        <item x="125"/>
        <item x="120"/>
        <item x="36"/>
        <item x="132"/>
        <item x="136"/>
        <item x="178"/>
        <item x="165"/>
        <item x="190"/>
        <item x="55"/>
        <item x="38"/>
        <item x="40"/>
        <item x="144"/>
        <item x="142"/>
        <item x="51"/>
        <item x="22"/>
        <item x="99"/>
        <item x="27"/>
        <item x="61"/>
        <item x="193"/>
        <item x="177"/>
        <item x="58"/>
        <item x="90"/>
        <item x="161"/>
        <item x="108"/>
        <item x="167"/>
        <item x="83"/>
        <item x="19"/>
        <item x="186"/>
        <item x="107"/>
        <item x="149"/>
        <item x="17"/>
        <item x="43"/>
        <item x="109"/>
        <item x="10"/>
        <item x="3"/>
        <item x="129"/>
        <item x="145"/>
        <item x="163"/>
        <item x="175"/>
        <item x="158"/>
        <item x="195"/>
        <item x="166"/>
        <item x="100"/>
        <item x="139"/>
        <item x="147"/>
        <item x="75"/>
        <item x="153"/>
        <item x="138"/>
        <item x="183"/>
        <item x="124"/>
        <item x="113"/>
        <item x="92"/>
        <item x="199"/>
        <item x="48"/>
        <item x="103"/>
        <item x="31"/>
        <item x="140"/>
        <item x="86"/>
        <item x="53"/>
        <item x="119"/>
        <item x="117"/>
        <item x="28"/>
        <item x="91"/>
        <item x="49"/>
        <item x="171"/>
        <item x="123"/>
        <item x="16"/>
        <item x="184"/>
        <item x="111"/>
        <item x="67"/>
        <item x="150"/>
        <item t="default"/>
      </items>
    </pivotField>
    <pivotField showAll="0"/>
  </pivotFields>
  <rowFields count="1">
    <field x="3"/>
  </rowFields>
  <rowItems count="11">
    <i>
      <x/>
    </i>
    <i>
      <x v="1"/>
    </i>
    <i>
      <x v="2"/>
    </i>
    <i>
      <x v="3"/>
    </i>
    <i>
      <x v="4"/>
    </i>
    <i>
      <x v="5"/>
    </i>
    <i>
      <x v="6"/>
    </i>
    <i>
      <x v="7"/>
    </i>
    <i>
      <x v="8"/>
    </i>
    <i>
      <x v="9"/>
    </i>
    <i t="grand">
      <x/>
    </i>
  </rowItems>
  <colItems count="1">
    <i/>
  </colItems>
  <dataFields count="1">
    <dataField name="Sum of Units Sold"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BA39E3-8352-42D1-B923-8209DB710C3B}"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I20" firstHeaderRow="1" firstDataRow="1" firstDataCol="1"/>
  <pivotFields count="10">
    <pivotField showAll="0"/>
    <pivotField numFmtId="164" showAll="0"/>
    <pivotField showAll="0">
      <items count="5">
        <item x="2"/>
        <item x="1"/>
        <item x="3"/>
        <item x="0"/>
        <item t="default"/>
      </items>
    </pivotField>
    <pivotField showAll="0">
      <items count="11">
        <item x="6"/>
        <item x="4"/>
        <item x="9"/>
        <item x="3"/>
        <item x="7"/>
        <item x="5"/>
        <item x="8"/>
        <item x="1"/>
        <item x="2"/>
        <item x="0"/>
        <item t="default"/>
      </items>
    </pivotField>
    <pivotField showAll="0">
      <items count="5">
        <item x="0"/>
        <item x="3"/>
        <item x="1"/>
        <item x="2"/>
        <item t="default"/>
      </items>
    </pivotField>
    <pivotField axis="axisRow" showAll="0">
      <items count="17">
        <item x="2"/>
        <item x="11"/>
        <item x="7"/>
        <item x="5"/>
        <item x="10"/>
        <item x="9"/>
        <item x="14"/>
        <item x="6"/>
        <item x="13"/>
        <item x="12"/>
        <item x="15"/>
        <item x="0"/>
        <item x="8"/>
        <item x="4"/>
        <item x="1"/>
        <item x="3"/>
        <item t="default"/>
      </items>
    </pivotField>
    <pivotField showAll="0">
      <items count="51">
        <item x="17"/>
        <item x="1"/>
        <item x="46"/>
        <item x="11"/>
        <item x="4"/>
        <item x="49"/>
        <item x="15"/>
        <item x="40"/>
        <item x="20"/>
        <item x="38"/>
        <item x="32"/>
        <item x="8"/>
        <item x="25"/>
        <item x="42"/>
        <item x="12"/>
        <item x="7"/>
        <item x="48"/>
        <item x="13"/>
        <item x="23"/>
        <item x="24"/>
        <item x="0"/>
        <item x="6"/>
        <item x="36"/>
        <item x="41"/>
        <item x="9"/>
        <item x="16"/>
        <item x="28"/>
        <item x="34"/>
        <item x="19"/>
        <item x="45"/>
        <item x="22"/>
        <item x="2"/>
        <item x="44"/>
        <item x="33"/>
        <item x="37"/>
        <item x="10"/>
        <item x="43"/>
        <item x="18"/>
        <item x="14"/>
        <item x="39"/>
        <item x="3"/>
        <item x="5"/>
        <item x="21"/>
        <item x="30"/>
        <item x="26"/>
        <item x="27"/>
        <item x="31"/>
        <item x="35"/>
        <item x="47"/>
        <item x="29"/>
        <item t="default"/>
      </items>
    </pivotField>
    <pivotField showAll="0"/>
    <pivotField showAll="0">
      <items count="201">
        <item x="198"/>
        <item x="126"/>
        <item x="106"/>
        <item x="87"/>
        <item x="127"/>
        <item x="47"/>
        <item x="128"/>
        <item x="20"/>
        <item x="176"/>
        <item x="182"/>
        <item x="131"/>
        <item x="114"/>
        <item x="46"/>
        <item x="65"/>
        <item x="1"/>
        <item x="104"/>
        <item x="42"/>
        <item x="24"/>
        <item x="102"/>
        <item x="26"/>
        <item x="169"/>
        <item x="74"/>
        <item x="170"/>
        <item x="95"/>
        <item x="50"/>
        <item x="21"/>
        <item x="72"/>
        <item x="115"/>
        <item x="5"/>
        <item x="159"/>
        <item x="76"/>
        <item x="98"/>
        <item x="89"/>
        <item x="71"/>
        <item x="6"/>
        <item x="12"/>
        <item x="189"/>
        <item x="116"/>
        <item x="197"/>
        <item x="97"/>
        <item x="0"/>
        <item x="69"/>
        <item x="191"/>
        <item x="146"/>
        <item x="39"/>
        <item x="11"/>
        <item x="174"/>
        <item x="59"/>
        <item x="30"/>
        <item x="35"/>
        <item x="23"/>
        <item x="82"/>
        <item x="112"/>
        <item x="4"/>
        <item x="54"/>
        <item x="187"/>
        <item x="73"/>
        <item x="185"/>
        <item x="62"/>
        <item x="121"/>
        <item x="137"/>
        <item x="164"/>
        <item x="79"/>
        <item x="134"/>
        <item x="188"/>
        <item x="18"/>
        <item x="78"/>
        <item x="130"/>
        <item x="25"/>
        <item x="148"/>
        <item x="32"/>
        <item x="181"/>
        <item x="101"/>
        <item x="192"/>
        <item x="180"/>
        <item x="8"/>
        <item x="29"/>
        <item x="41"/>
        <item x="34"/>
        <item x="154"/>
        <item x="88"/>
        <item x="68"/>
        <item x="168"/>
        <item x="80"/>
        <item x="94"/>
        <item x="63"/>
        <item x="105"/>
        <item x="96"/>
        <item x="15"/>
        <item x="13"/>
        <item x="70"/>
        <item x="172"/>
        <item x="162"/>
        <item x="160"/>
        <item x="33"/>
        <item x="60"/>
        <item x="52"/>
        <item x="173"/>
        <item x="85"/>
        <item x="45"/>
        <item x="44"/>
        <item x="143"/>
        <item x="141"/>
        <item x="151"/>
        <item x="37"/>
        <item x="66"/>
        <item x="152"/>
        <item x="157"/>
        <item x="179"/>
        <item x="81"/>
        <item x="93"/>
        <item x="155"/>
        <item x="196"/>
        <item x="110"/>
        <item x="9"/>
        <item x="84"/>
        <item x="156"/>
        <item x="56"/>
        <item x="14"/>
        <item x="57"/>
        <item x="2"/>
        <item x="64"/>
        <item x="122"/>
        <item x="118"/>
        <item x="7"/>
        <item x="77"/>
        <item x="135"/>
        <item x="133"/>
        <item x="194"/>
        <item x="125"/>
        <item x="120"/>
        <item x="36"/>
        <item x="132"/>
        <item x="136"/>
        <item x="178"/>
        <item x="165"/>
        <item x="190"/>
        <item x="55"/>
        <item x="38"/>
        <item x="40"/>
        <item x="144"/>
        <item x="142"/>
        <item x="51"/>
        <item x="22"/>
        <item x="99"/>
        <item x="27"/>
        <item x="61"/>
        <item x="193"/>
        <item x="177"/>
        <item x="58"/>
        <item x="90"/>
        <item x="161"/>
        <item x="108"/>
        <item x="167"/>
        <item x="83"/>
        <item x="19"/>
        <item x="186"/>
        <item x="107"/>
        <item x="149"/>
        <item x="17"/>
        <item x="43"/>
        <item x="109"/>
        <item x="10"/>
        <item x="3"/>
        <item x="129"/>
        <item x="145"/>
        <item x="163"/>
        <item x="175"/>
        <item x="158"/>
        <item x="195"/>
        <item x="166"/>
        <item x="100"/>
        <item x="139"/>
        <item x="147"/>
        <item x="75"/>
        <item x="153"/>
        <item x="138"/>
        <item x="183"/>
        <item x="124"/>
        <item x="113"/>
        <item x="92"/>
        <item x="199"/>
        <item x="48"/>
        <item x="103"/>
        <item x="31"/>
        <item x="140"/>
        <item x="86"/>
        <item x="53"/>
        <item x="119"/>
        <item x="117"/>
        <item x="28"/>
        <item x="91"/>
        <item x="49"/>
        <item x="171"/>
        <item x="123"/>
        <item x="16"/>
        <item x="184"/>
        <item x="111"/>
        <item x="67"/>
        <item x="150"/>
        <item t="default"/>
      </items>
    </pivotField>
    <pivotField dataField="1" showAll="0"/>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Sum of Profit" fld="9"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94D29E-73C2-41A7-B763-8742950676B1}"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3:F8" firstHeaderRow="1" firstDataRow="1" firstDataCol="1"/>
  <pivotFields count="10">
    <pivotField showAll="0"/>
    <pivotField numFmtId="164" showAll="0"/>
    <pivotField showAll="0">
      <items count="5">
        <item x="2"/>
        <item x="1"/>
        <item x="3"/>
        <item x="0"/>
        <item t="default"/>
      </items>
    </pivotField>
    <pivotField showAll="0">
      <items count="11">
        <item x="6"/>
        <item x="4"/>
        <item x="9"/>
        <item x="3"/>
        <item x="7"/>
        <item x="5"/>
        <item x="8"/>
        <item x="1"/>
        <item x="2"/>
        <item x="0"/>
        <item t="default"/>
      </items>
    </pivotField>
    <pivotField axis="axisRow" showAll="0">
      <items count="5">
        <item x="0"/>
        <item x="3"/>
        <item x="1"/>
        <item x="2"/>
        <item t="default"/>
      </items>
    </pivotField>
    <pivotField showAll="0">
      <items count="17">
        <item x="2"/>
        <item x="11"/>
        <item x="7"/>
        <item x="5"/>
        <item x="10"/>
        <item x="9"/>
        <item x="14"/>
        <item x="6"/>
        <item x="13"/>
        <item x="12"/>
        <item x="15"/>
        <item x="0"/>
        <item x="8"/>
        <item x="4"/>
        <item x="1"/>
        <item x="3"/>
        <item t="default"/>
      </items>
    </pivotField>
    <pivotField showAll="0">
      <items count="51">
        <item x="17"/>
        <item x="1"/>
        <item x="46"/>
        <item x="11"/>
        <item x="4"/>
        <item x="49"/>
        <item x="15"/>
        <item x="40"/>
        <item x="20"/>
        <item x="38"/>
        <item x="32"/>
        <item x="8"/>
        <item x="25"/>
        <item x="42"/>
        <item x="12"/>
        <item x="7"/>
        <item x="48"/>
        <item x="13"/>
        <item x="23"/>
        <item x="24"/>
        <item x="0"/>
        <item x="6"/>
        <item x="36"/>
        <item x="41"/>
        <item x="9"/>
        <item x="16"/>
        <item x="28"/>
        <item x="34"/>
        <item x="19"/>
        <item x="45"/>
        <item x="22"/>
        <item x="2"/>
        <item x="44"/>
        <item x="33"/>
        <item x="37"/>
        <item x="10"/>
        <item x="43"/>
        <item x="18"/>
        <item x="14"/>
        <item x="39"/>
        <item x="3"/>
        <item x="5"/>
        <item x="21"/>
        <item x="30"/>
        <item x="26"/>
        <item x="27"/>
        <item x="31"/>
        <item x="35"/>
        <item x="47"/>
        <item x="29"/>
        <item t="default"/>
      </items>
    </pivotField>
    <pivotField showAll="0"/>
    <pivotField dataField="1" showAll="0">
      <items count="201">
        <item x="198"/>
        <item x="126"/>
        <item x="106"/>
        <item x="87"/>
        <item x="127"/>
        <item x="47"/>
        <item x="128"/>
        <item x="20"/>
        <item x="176"/>
        <item x="182"/>
        <item x="131"/>
        <item x="114"/>
        <item x="46"/>
        <item x="65"/>
        <item x="1"/>
        <item x="104"/>
        <item x="42"/>
        <item x="24"/>
        <item x="102"/>
        <item x="26"/>
        <item x="169"/>
        <item x="74"/>
        <item x="170"/>
        <item x="95"/>
        <item x="50"/>
        <item x="21"/>
        <item x="72"/>
        <item x="115"/>
        <item x="5"/>
        <item x="159"/>
        <item x="76"/>
        <item x="98"/>
        <item x="89"/>
        <item x="71"/>
        <item x="6"/>
        <item x="12"/>
        <item x="189"/>
        <item x="116"/>
        <item x="197"/>
        <item x="97"/>
        <item x="0"/>
        <item x="69"/>
        <item x="191"/>
        <item x="146"/>
        <item x="39"/>
        <item x="11"/>
        <item x="174"/>
        <item x="59"/>
        <item x="30"/>
        <item x="35"/>
        <item x="23"/>
        <item x="82"/>
        <item x="112"/>
        <item x="4"/>
        <item x="54"/>
        <item x="187"/>
        <item x="73"/>
        <item x="185"/>
        <item x="62"/>
        <item x="121"/>
        <item x="137"/>
        <item x="164"/>
        <item x="79"/>
        <item x="134"/>
        <item x="188"/>
        <item x="18"/>
        <item x="78"/>
        <item x="130"/>
        <item x="25"/>
        <item x="148"/>
        <item x="32"/>
        <item x="181"/>
        <item x="101"/>
        <item x="192"/>
        <item x="180"/>
        <item x="8"/>
        <item x="29"/>
        <item x="41"/>
        <item x="34"/>
        <item x="154"/>
        <item x="88"/>
        <item x="68"/>
        <item x="168"/>
        <item x="80"/>
        <item x="94"/>
        <item x="63"/>
        <item x="105"/>
        <item x="96"/>
        <item x="15"/>
        <item x="13"/>
        <item x="70"/>
        <item x="172"/>
        <item x="162"/>
        <item x="160"/>
        <item x="33"/>
        <item x="60"/>
        <item x="52"/>
        <item x="173"/>
        <item x="85"/>
        <item x="45"/>
        <item x="44"/>
        <item x="143"/>
        <item x="141"/>
        <item x="151"/>
        <item x="37"/>
        <item x="66"/>
        <item x="152"/>
        <item x="157"/>
        <item x="179"/>
        <item x="81"/>
        <item x="93"/>
        <item x="155"/>
        <item x="196"/>
        <item x="110"/>
        <item x="9"/>
        <item x="84"/>
        <item x="156"/>
        <item x="56"/>
        <item x="14"/>
        <item x="57"/>
        <item x="2"/>
        <item x="64"/>
        <item x="122"/>
        <item x="118"/>
        <item x="7"/>
        <item x="77"/>
        <item x="135"/>
        <item x="133"/>
        <item x="194"/>
        <item x="125"/>
        <item x="120"/>
        <item x="36"/>
        <item x="132"/>
        <item x="136"/>
        <item x="178"/>
        <item x="165"/>
        <item x="190"/>
        <item x="55"/>
        <item x="38"/>
        <item x="40"/>
        <item x="144"/>
        <item x="142"/>
        <item x="51"/>
        <item x="22"/>
        <item x="99"/>
        <item x="27"/>
        <item x="61"/>
        <item x="193"/>
        <item x="177"/>
        <item x="58"/>
        <item x="90"/>
        <item x="161"/>
        <item x="108"/>
        <item x="167"/>
        <item x="83"/>
        <item x="19"/>
        <item x="186"/>
        <item x="107"/>
        <item x="149"/>
        <item x="17"/>
        <item x="43"/>
        <item x="109"/>
        <item x="10"/>
        <item x="3"/>
        <item x="129"/>
        <item x="145"/>
        <item x="163"/>
        <item x="175"/>
        <item x="158"/>
        <item x="195"/>
        <item x="166"/>
        <item x="100"/>
        <item x="139"/>
        <item x="147"/>
        <item x="75"/>
        <item x="153"/>
        <item x="138"/>
        <item x="183"/>
        <item x="124"/>
        <item x="113"/>
        <item x="92"/>
        <item x="199"/>
        <item x="48"/>
        <item x="103"/>
        <item x="31"/>
        <item x="140"/>
        <item x="86"/>
        <item x="53"/>
        <item x="119"/>
        <item x="117"/>
        <item x="28"/>
        <item x="91"/>
        <item x="49"/>
        <item x="171"/>
        <item x="123"/>
        <item x="16"/>
        <item x="184"/>
        <item x="111"/>
        <item x="67"/>
        <item x="150"/>
        <item t="default"/>
      </items>
    </pivotField>
    <pivotField showAll="0"/>
  </pivotFields>
  <rowFields count="1">
    <field x="4"/>
  </rowFields>
  <rowItems count="5">
    <i>
      <x/>
    </i>
    <i>
      <x v="1"/>
    </i>
    <i>
      <x v="2"/>
    </i>
    <i>
      <x v="3"/>
    </i>
    <i t="grand">
      <x/>
    </i>
  </rowItems>
  <colItems count="1">
    <i/>
  </colItems>
  <dataFields count="1">
    <dataField name="Sum of Total Sales" fld="8" baseField="0" baseItem="0"/>
  </dataFields>
  <chartFormats count="5">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4" count="1" selected="0">
            <x v="0"/>
          </reference>
        </references>
      </pivotArea>
    </chartFormat>
    <chartFormat chart="12" format="8">
      <pivotArea type="data" outline="0" fieldPosition="0">
        <references count="2">
          <reference field="4294967294" count="1" selected="0">
            <x v="0"/>
          </reference>
          <reference field="4" count="1" selected="0">
            <x v="1"/>
          </reference>
        </references>
      </pivotArea>
    </chartFormat>
    <chartFormat chart="12" format="9">
      <pivotArea type="data" outline="0" fieldPosition="0">
        <references count="2">
          <reference field="4294967294" count="1" selected="0">
            <x v="0"/>
          </reference>
          <reference field="4" count="1" selected="0">
            <x v="2"/>
          </reference>
        </references>
      </pivotArea>
    </chartFormat>
    <chartFormat chart="1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5114E9-9FC5-479C-A988-5B8589A83853}"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0">
    <pivotField showAll="0"/>
    <pivotField numFmtId="164" showAll="0"/>
    <pivotField axis="axisRow" showAll="0">
      <items count="5">
        <item x="2"/>
        <item x="1"/>
        <item x="3"/>
        <item x="0"/>
        <item t="default"/>
      </items>
    </pivotField>
    <pivotField showAll="0">
      <items count="11">
        <item x="6"/>
        <item x="4"/>
        <item x="9"/>
        <item x="3"/>
        <item x="7"/>
        <item x="5"/>
        <item x="8"/>
        <item x="1"/>
        <item x="2"/>
        <item x="0"/>
        <item t="default"/>
      </items>
    </pivotField>
    <pivotField showAll="0">
      <items count="5">
        <item x="0"/>
        <item x="3"/>
        <item x="1"/>
        <item x="2"/>
        <item t="default"/>
      </items>
    </pivotField>
    <pivotField showAll="0">
      <items count="17">
        <item x="2"/>
        <item x="11"/>
        <item x="7"/>
        <item x="5"/>
        <item x="10"/>
        <item x="9"/>
        <item x="14"/>
        <item x="6"/>
        <item x="13"/>
        <item x="12"/>
        <item x="15"/>
        <item x="0"/>
        <item x="8"/>
        <item x="4"/>
        <item x="1"/>
        <item x="3"/>
        <item t="default"/>
      </items>
    </pivotField>
    <pivotField showAll="0">
      <items count="51">
        <item x="17"/>
        <item x="1"/>
        <item x="46"/>
        <item x="11"/>
        <item x="4"/>
        <item x="49"/>
        <item x="15"/>
        <item x="40"/>
        <item x="20"/>
        <item x="38"/>
        <item x="32"/>
        <item x="8"/>
        <item x="25"/>
        <item x="42"/>
        <item x="12"/>
        <item x="7"/>
        <item x="48"/>
        <item x="13"/>
        <item x="23"/>
        <item x="24"/>
        <item x="0"/>
        <item x="6"/>
        <item x="36"/>
        <item x="41"/>
        <item x="9"/>
        <item x="16"/>
        <item x="28"/>
        <item x="34"/>
        <item x="19"/>
        <item x="45"/>
        <item x="22"/>
        <item x="2"/>
        <item x="44"/>
        <item x="33"/>
        <item x="37"/>
        <item x="10"/>
        <item x="43"/>
        <item x="18"/>
        <item x="14"/>
        <item x="39"/>
        <item x="3"/>
        <item x="5"/>
        <item x="21"/>
        <item x="30"/>
        <item x="26"/>
        <item x="27"/>
        <item x="31"/>
        <item x="35"/>
        <item x="47"/>
        <item x="29"/>
        <item t="default"/>
      </items>
    </pivotField>
    <pivotField showAll="0"/>
    <pivotField dataField="1" showAll="0">
      <items count="201">
        <item x="198"/>
        <item x="126"/>
        <item x="106"/>
        <item x="87"/>
        <item x="127"/>
        <item x="47"/>
        <item x="128"/>
        <item x="20"/>
        <item x="176"/>
        <item x="182"/>
        <item x="131"/>
        <item x="114"/>
        <item x="46"/>
        <item x="65"/>
        <item x="1"/>
        <item x="104"/>
        <item x="42"/>
        <item x="24"/>
        <item x="102"/>
        <item x="26"/>
        <item x="169"/>
        <item x="74"/>
        <item x="170"/>
        <item x="95"/>
        <item x="50"/>
        <item x="21"/>
        <item x="72"/>
        <item x="115"/>
        <item x="5"/>
        <item x="159"/>
        <item x="76"/>
        <item x="98"/>
        <item x="89"/>
        <item x="71"/>
        <item x="6"/>
        <item x="12"/>
        <item x="189"/>
        <item x="116"/>
        <item x="197"/>
        <item x="97"/>
        <item x="0"/>
        <item x="69"/>
        <item x="191"/>
        <item x="146"/>
        <item x="39"/>
        <item x="11"/>
        <item x="174"/>
        <item x="59"/>
        <item x="30"/>
        <item x="35"/>
        <item x="23"/>
        <item x="82"/>
        <item x="112"/>
        <item x="4"/>
        <item x="54"/>
        <item x="187"/>
        <item x="73"/>
        <item x="185"/>
        <item x="62"/>
        <item x="121"/>
        <item x="137"/>
        <item x="164"/>
        <item x="79"/>
        <item x="134"/>
        <item x="188"/>
        <item x="18"/>
        <item x="78"/>
        <item x="130"/>
        <item x="25"/>
        <item x="148"/>
        <item x="32"/>
        <item x="181"/>
        <item x="101"/>
        <item x="192"/>
        <item x="180"/>
        <item x="8"/>
        <item x="29"/>
        <item x="41"/>
        <item x="34"/>
        <item x="154"/>
        <item x="88"/>
        <item x="68"/>
        <item x="168"/>
        <item x="80"/>
        <item x="94"/>
        <item x="63"/>
        <item x="105"/>
        <item x="96"/>
        <item x="15"/>
        <item x="13"/>
        <item x="70"/>
        <item x="172"/>
        <item x="162"/>
        <item x="160"/>
        <item x="33"/>
        <item x="60"/>
        <item x="52"/>
        <item x="173"/>
        <item x="85"/>
        <item x="45"/>
        <item x="44"/>
        <item x="143"/>
        <item x="141"/>
        <item x="151"/>
        <item x="37"/>
        <item x="66"/>
        <item x="152"/>
        <item x="157"/>
        <item x="179"/>
        <item x="81"/>
        <item x="93"/>
        <item x="155"/>
        <item x="196"/>
        <item x="110"/>
        <item x="9"/>
        <item x="84"/>
        <item x="156"/>
        <item x="56"/>
        <item x="14"/>
        <item x="57"/>
        <item x="2"/>
        <item x="64"/>
        <item x="122"/>
        <item x="118"/>
        <item x="7"/>
        <item x="77"/>
        <item x="135"/>
        <item x="133"/>
        <item x="194"/>
        <item x="125"/>
        <item x="120"/>
        <item x="36"/>
        <item x="132"/>
        <item x="136"/>
        <item x="178"/>
        <item x="165"/>
        <item x="190"/>
        <item x="55"/>
        <item x="38"/>
        <item x="40"/>
        <item x="144"/>
        <item x="142"/>
        <item x="51"/>
        <item x="22"/>
        <item x="99"/>
        <item x="27"/>
        <item x="61"/>
        <item x="193"/>
        <item x="177"/>
        <item x="58"/>
        <item x="90"/>
        <item x="161"/>
        <item x="108"/>
        <item x="167"/>
        <item x="83"/>
        <item x="19"/>
        <item x="186"/>
        <item x="107"/>
        <item x="149"/>
        <item x="17"/>
        <item x="43"/>
        <item x="109"/>
        <item x="10"/>
        <item x="3"/>
        <item x="129"/>
        <item x="145"/>
        <item x="163"/>
        <item x="175"/>
        <item x="158"/>
        <item x="195"/>
        <item x="166"/>
        <item x="100"/>
        <item x="139"/>
        <item x="147"/>
        <item x="75"/>
        <item x="153"/>
        <item x="138"/>
        <item x="183"/>
        <item x="124"/>
        <item x="113"/>
        <item x="92"/>
        <item x="199"/>
        <item x="48"/>
        <item x="103"/>
        <item x="31"/>
        <item x="140"/>
        <item x="86"/>
        <item x="53"/>
        <item x="119"/>
        <item x="117"/>
        <item x="28"/>
        <item x="91"/>
        <item x="49"/>
        <item x="171"/>
        <item x="123"/>
        <item x="16"/>
        <item x="184"/>
        <item x="111"/>
        <item x="67"/>
        <item x="150"/>
        <item t="default"/>
      </items>
    </pivotField>
    <pivotField showAll="0"/>
  </pivotFields>
  <rowFields count="1">
    <field x="2"/>
  </rowFields>
  <rowItems count="5">
    <i>
      <x/>
    </i>
    <i>
      <x v="1"/>
    </i>
    <i>
      <x v="2"/>
    </i>
    <i>
      <x v="3"/>
    </i>
    <i t="grand">
      <x/>
    </i>
  </rowItems>
  <colItems count="1">
    <i/>
  </colItems>
  <dataFields count="1">
    <dataField name="Sum of Total Sales"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D571CBCB-DA00-4497-808F-589FA0690B94}" sourceName="Product Name">
  <pivotTables>
    <pivotTable tabId="2" name="PivotTable1"/>
    <pivotTable tabId="2" name="PivotTable2"/>
    <pivotTable tabId="2" name="PivotTable3"/>
    <pivotTable tabId="2" name="PivotTable4"/>
  </pivotTables>
  <data>
    <tabular pivotCacheId="808222103">
      <items count="16">
        <i x="2" s="1"/>
        <i x="11" s="1"/>
        <i x="7" s="1"/>
        <i x="5" s="1"/>
        <i x="10" s="1"/>
        <i x="9" s="1"/>
        <i x="14" s="1"/>
        <i x="6" s="1"/>
        <i x="13" s="1"/>
        <i x="12" s="1"/>
        <i x="15" s="1"/>
        <i x="0" s="1"/>
        <i x="8" s="1"/>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056979C-EDC6-4454-8764-407CBC3C6979}" sourceName="Product Category">
  <pivotTables>
    <pivotTable tabId="2" name="PivotTable1"/>
    <pivotTable tabId="2" name="PivotTable2"/>
    <pivotTable tabId="2" name="PivotTable3"/>
    <pivotTable tabId="2" name="PivotTable4"/>
  </pivotTables>
  <data>
    <tabular pivotCacheId="808222103">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5FFD51-1D1C-48D1-9EA5-BD37F9C5B7B6}" sourceName="Region">
  <pivotTables>
    <pivotTable tabId="2" name="PivotTable1"/>
    <pivotTable tabId="2" name="PivotTable2"/>
    <pivotTable tabId="2" name="PivotTable3"/>
    <pivotTable tabId="2" name="PivotTable4"/>
  </pivotTables>
  <data>
    <tabular pivotCacheId="808222103">
      <items count="4">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EE59441F-9087-4251-8BF7-4CB17874D4AE}" sourceName="Salesperson">
  <pivotTables>
    <pivotTable tabId="2" name="PivotTable1"/>
    <pivotTable tabId="2" name="PivotTable2"/>
    <pivotTable tabId="2" name="PivotTable3"/>
    <pivotTable tabId="2" name="PivotTable4"/>
  </pivotTables>
  <data>
    <tabular pivotCacheId="808222103">
      <items count="10">
        <i x="6" s="1"/>
        <i x="4" s="1"/>
        <i x="9" s="1"/>
        <i x="3" s="1"/>
        <i x="7" s="1"/>
        <i x="5" s="1"/>
        <i x="8"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C5C08F03-C2AC-4BBD-AC48-1E675324DD92}" cache="Slicer_Product_Name" caption="Product Name" style="SlicerStyleDark5" rowHeight="234950"/>
  <slicer name="Product Category" xr10:uid="{CF92EB03-9148-4ED0-B98F-EE5D85DCCF15}" cache="Slicer_Product_Category" caption="Product Category" style="SlicerStyleDark5" rowHeight="234950"/>
  <slicer name="Region" xr10:uid="{3E412FD5-5C9E-47EA-BD29-1AE480D963FA}" cache="Slicer_Region" caption="Region" columnCount="2" style="SlicerStyleDark1" rowHeight="365760"/>
  <slicer name="Salesperson" xr10:uid="{9504D8E7-C31C-4264-BBD9-7A33529230E1}" cache="Slicer_Salesperson" caption="Salesperson" style="SlicerStyleDark5"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AE647-3C05-45B8-B58F-047E56B52690}">
  <dimension ref="A3:M20"/>
  <sheetViews>
    <sheetView zoomScale="80" workbookViewId="0">
      <selection activeCell="D5" activeCellId="1" sqref="M6 D5"/>
    </sheetView>
  </sheetViews>
  <sheetFormatPr defaultRowHeight="14.4" x14ac:dyDescent="0.3"/>
  <cols>
    <col min="1" max="1" width="13.33203125" bestFit="1" customWidth="1"/>
    <col min="2" max="2" width="16.77734375" bestFit="1" customWidth="1"/>
    <col min="5" max="5" width="13.33203125" bestFit="1" customWidth="1"/>
    <col min="6" max="6" width="16.77734375" bestFit="1" customWidth="1"/>
    <col min="8" max="8" width="13.33203125" bestFit="1" customWidth="1"/>
    <col min="9" max="9" width="12.21875" bestFit="1" customWidth="1"/>
    <col min="10" max="10" width="12.109375" bestFit="1" customWidth="1"/>
    <col min="12" max="12" width="16.33203125" bestFit="1" customWidth="1"/>
    <col min="13" max="13" width="16.21875" bestFit="1" customWidth="1"/>
    <col min="14" max="14" width="16" bestFit="1" customWidth="1"/>
  </cols>
  <sheetData>
    <row r="3" spans="1:13" x14ac:dyDescent="0.3">
      <c r="A3" s="4" t="s">
        <v>244</v>
      </c>
      <c r="B3" t="s">
        <v>246</v>
      </c>
      <c r="E3" s="4" t="s">
        <v>244</v>
      </c>
      <c r="F3" t="s">
        <v>246</v>
      </c>
      <c r="H3" s="4" t="s">
        <v>244</v>
      </c>
      <c r="I3" t="s">
        <v>247</v>
      </c>
      <c r="L3" s="4" t="s">
        <v>244</v>
      </c>
      <c r="M3" t="s">
        <v>248</v>
      </c>
    </row>
    <row r="4" spans="1:13" x14ac:dyDescent="0.3">
      <c r="A4" s="5" t="s">
        <v>212</v>
      </c>
      <c r="B4" s="6">
        <v>740368.58000000007</v>
      </c>
      <c r="E4" s="5" t="s">
        <v>224</v>
      </c>
      <c r="F4" s="6">
        <v>532511.29999999993</v>
      </c>
      <c r="H4" s="5" t="s">
        <v>230</v>
      </c>
      <c r="I4" s="6">
        <v>43719.350000000006</v>
      </c>
      <c r="L4" s="5" t="s">
        <v>220</v>
      </c>
      <c r="M4" s="6">
        <v>371</v>
      </c>
    </row>
    <row r="5" spans="1:13" x14ac:dyDescent="0.3">
      <c r="A5" s="5" t="s">
        <v>211</v>
      </c>
      <c r="B5" s="6">
        <v>550370.18000000005</v>
      </c>
      <c r="E5" s="5" t="s">
        <v>227</v>
      </c>
      <c r="F5" s="6">
        <v>719501.65</v>
      </c>
      <c r="H5" s="5" t="s">
        <v>239</v>
      </c>
      <c r="I5" s="6">
        <v>55493.179999999993</v>
      </c>
      <c r="L5" s="5" t="s">
        <v>218</v>
      </c>
      <c r="M5" s="6">
        <v>540</v>
      </c>
    </row>
    <row r="6" spans="1:13" x14ac:dyDescent="0.3">
      <c r="A6" s="5" t="s">
        <v>213</v>
      </c>
      <c r="B6" s="6">
        <v>704637.33000000007</v>
      </c>
      <c r="E6" s="5" t="s">
        <v>225</v>
      </c>
      <c r="F6" s="6">
        <v>614782.74</v>
      </c>
      <c r="H6" s="5" t="s">
        <v>235</v>
      </c>
      <c r="I6" s="6">
        <v>24579.859999999997</v>
      </c>
      <c r="L6" s="5" t="s">
        <v>223</v>
      </c>
      <c r="M6" s="6">
        <v>602</v>
      </c>
    </row>
    <row r="7" spans="1:13" x14ac:dyDescent="0.3">
      <c r="A7" s="5" t="s">
        <v>210</v>
      </c>
      <c r="B7" s="6">
        <v>557896.36999999988</v>
      </c>
      <c r="E7" s="5" t="s">
        <v>226</v>
      </c>
      <c r="F7" s="6">
        <v>686476.77000000014</v>
      </c>
      <c r="H7" s="5" t="s">
        <v>233</v>
      </c>
      <c r="I7" s="6">
        <v>41700.33</v>
      </c>
      <c r="L7" s="5" t="s">
        <v>217</v>
      </c>
      <c r="M7" s="6">
        <v>697</v>
      </c>
    </row>
    <row r="8" spans="1:13" x14ac:dyDescent="0.3">
      <c r="A8" s="5" t="s">
        <v>245</v>
      </c>
      <c r="B8" s="6">
        <v>2553272.46</v>
      </c>
      <c r="E8" s="5" t="s">
        <v>245</v>
      </c>
      <c r="F8" s="6">
        <v>2553272.46</v>
      </c>
      <c r="H8" s="5" t="s">
        <v>238</v>
      </c>
      <c r="I8" s="6">
        <v>30580.3</v>
      </c>
      <c r="L8" s="5" t="s">
        <v>221</v>
      </c>
      <c r="M8" s="6">
        <v>539</v>
      </c>
    </row>
    <row r="9" spans="1:13" x14ac:dyDescent="0.3">
      <c r="H9" s="5" t="s">
        <v>237</v>
      </c>
      <c r="I9" s="6">
        <v>30818.78</v>
      </c>
      <c r="L9" s="5" t="s">
        <v>219</v>
      </c>
      <c r="M9" s="6">
        <v>575</v>
      </c>
    </row>
    <row r="10" spans="1:13" x14ac:dyDescent="0.3">
      <c r="H10" s="5" t="s">
        <v>242</v>
      </c>
      <c r="I10" s="6">
        <v>29073.4</v>
      </c>
      <c r="L10" s="5" t="s">
        <v>222</v>
      </c>
      <c r="M10" s="6">
        <v>483</v>
      </c>
    </row>
    <row r="11" spans="1:13" x14ac:dyDescent="0.3">
      <c r="H11" s="5" t="s">
        <v>234</v>
      </c>
      <c r="I11" s="6">
        <v>31384.84</v>
      </c>
      <c r="L11" s="5" t="s">
        <v>215</v>
      </c>
      <c r="M11" s="6">
        <v>602</v>
      </c>
    </row>
    <row r="12" spans="1:13" x14ac:dyDescent="0.3">
      <c r="H12" s="5" t="s">
        <v>241</v>
      </c>
      <c r="I12" s="6">
        <v>63720.59</v>
      </c>
      <c r="L12" s="5" t="s">
        <v>216</v>
      </c>
      <c r="M12" s="6">
        <v>606</v>
      </c>
    </row>
    <row r="13" spans="1:13" x14ac:dyDescent="0.3">
      <c r="H13" s="5" t="s">
        <v>240</v>
      </c>
      <c r="I13" s="6">
        <v>38393.1</v>
      </c>
      <c r="L13" s="5" t="s">
        <v>214</v>
      </c>
      <c r="M13" s="6">
        <v>267</v>
      </c>
    </row>
    <row r="14" spans="1:13" x14ac:dyDescent="0.3">
      <c r="H14" s="5" t="s">
        <v>243</v>
      </c>
      <c r="I14" s="6">
        <v>61516.799999999996</v>
      </c>
      <c r="L14" s="5" t="s">
        <v>245</v>
      </c>
      <c r="M14" s="6">
        <v>5282</v>
      </c>
    </row>
    <row r="15" spans="1:13" x14ac:dyDescent="0.3">
      <c r="H15" s="5" t="s">
        <v>228</v>
      </c>
      <c r="I15" s="6">
        <v>42359.040000000001</v>
      </c>
    </row>
    <row r="16" spans="1:13" x14ac:dyDescent="0.3">
      <c r="H16" s="5" t="s">
        <v>236</v>
      </c>
      <c r="I16" s="6">
        <v>55611.659999999996</v>
      </c>
    </row>
    <row r="17" spans="8:9" x14ac:dyDescent="0.3">
      <c r="H17" s="5" t="s">
        <v>232</v>
      </c>
      <c r="I17" s="6">
        <v>46223.26999999999</v>
      </c>
    </row>
    <row r="18" spans="8:9" x14ac:dyDescent="0.3">
      <c r="H18" s="5" t="s">
        <v>229</v>
      </c>
      <c r="I18" s="6">
        <v>40503.839999999997</v>
      </c>
    </row>
    <row r="19" spans="8:9" x14ac:dyDescent="0.3">
      <c r="H19" s="5" t="s">
        <v>231</v>
      </c>
      <c r="I19" s="6">
        <v>30676.890000000003</v>
      </c>
    </row>
    <row r="20" spans="8:9" x14ac:dyDescent="0.3">
      <c r="H20" s="5" t="s">
        <v>245</v>
      </c>
      <c r="I20" s="6">
        <v>666355.23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268F8-A7C5-46F1-B9D9-F3F96B9AC2FB}">
  <dimension ref="A1"/>
  <sheetViews>
    <sheetView showGridLines="0" showRowColHeaders="0" tabSelected="1" zoomScale="62" workbookViewId="0">
      <selection activeCell="AE38" sqref="AE3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1"/>
  <sheetViews>
    <sheetView workbookViewId="0">
      <selection activeCell="D12" sqref="A1:J201"/>
    </sheetView>
  </sheetViews>
  <sheetFormatPr defaultRowHeight="14.4" x14ac:dyDescent="0.3"/>
  <cols>
    <col min="2" max="2" width="10.33203125" bestFit="1" customWidth="1"/>
    <col min="3" max="3" width="6.77734375" bestFit="1" customWidth="1"/>
    <col min="4" max="4" width="15.33203125" bestFit="1" customWidth="1"/>
    <col min="5" max="5" width="15.77734375" bestFit="1" customWidth="1"/>
    <col min="6" max="6" width="13.21875" bestFit="1" customWidth="1"/>
    <col min="7" max="7" width="9.44140625" bestFit="1" customWidth="1"/>
    <col min="8" max="8" width="9.109375" bestFit="1" customWidth="1"/>
    <col min="9" max="9" width="9.88671875" bestFit="1" customWidth="1"/>
    <col min="10" max="10" width="9"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10</v>
      </c>
      <c r="B2" s="3">
        <v>45726</v>
      </c>
      <c r="C2" s="2" t="s">
        <v>210</v>
      </c>
      <c r="D2" s="2" t="s">
        <v>214</v>
      </c>
      <c r="E2" s="2" t="s">
        <v>224</v>
      </c>
      <c r="F2" s="2" t="s">
        <v>228</v>
      </c>
      <c r="G2" s="2">
        <v>21</v>
      </c>
      <c r="H2" s="2">
        <v>139.88999999999999</v>
      </c>
      <c r="I2" s="2">
        <v>2937.69</v>
      </c>
      <c r="J2" s="2">
        <v>520.23</v>
      </c>
    </row>
    <row r="3" spans="1:10" x14ac:dyDescent="0.3">
      <c r="A3" s="2" t="s">
        <v>11</v>
      </c>
      <c r="B3" s="3">
        <v>45713</v>
      </c>
      <c r="C3" s="2" t="s">
        <v>211</v>
      </c>
      <c r="D3" s="2" t="s">
        <v>214</v>
      </c>
      <c r="E3" s="2" t="s">
        <v>225</v>
      </c>
      <c r="F3" s="2" t="s">
        <v>229</v>
      </c>
      <c r="G3" s="2">
        <v>2</v>
      </c>
      <c r="H3" s="2">
        <v>536.03</v>
      </c>
      <c r="I3" s="2">
        <v>1072.06</v>
      </c>
      <c r="J3" s="2">
        <v>334.22</v>
      </c>
    </row>
    <row r="4" spans="1:10" x14ac:dyDescent="0.3">
      <c r="A4" s="2" t="s">
        <v>12</v>
      </c>
      <c r="B4" s="3">
        <v>45745</v>
      </c>
      <c r="C4" s="2" t="s">
        <v>210</v>
      </c>
      <c r="D4" s="2" t="s">
        <v>215</v>
      </c>
      <c r="E4" s="2" t="s">
        <v>225</v>
      </c>
      <c r="F4" s="2" t="s">
        <v>230</v>
      </c>
      <c r="G4" s="2">
        <v>32</v>
      </c>
      <c r="H4" s="2">
        <v>444.39</v>
      </c>
      <c r="I4" s="2">
        <v>14220.48</v>
      </c>
      <c r="J4" s="2">
        <v>3382.32</v>
      </c>
    </row>
    <row r="5" spans="1:10" x14ac:dyDescent="0.3">
      <c r="A5" s="2" t="s">
        <v>13</v>
      </c>
      <c r="B5" s="3">
        <v>45829</v>
      </c>
      <c r="C5" s="2" t="s">
        <v>211</v>
      </c>
      <c r="D5" s="2" t="s">
        <v>216</v>
      </c>
      <c r="E5" s="2" t="s">
        <v>224</v>
      </c>
      <c r="F5" s="2" t="s">
        <v>228</v>
      </c>
      <c r="G5" s="2">
        <v>41</v>
      </c>
      <c r="H5" s="2">
        <v>578.42999999999995</v>
      </c>
      <c r="I5" s="2">
        <v>23715.63</v>
      </c>
      <c r="J5" s="2">
        <v>7570.63</v>
      </c>
    </row>
    <row r="6" spans="1:10" x14ac:dyDescent="0.3">
      <c r="A6" s="2" t="s">
        <v>14</v>
      </c>
      <c r="B6" s="3">
        <v>45784</v>
      </c>
      <c r="C6" s="2" t="s">
        <v>211</v>
      </c>
      <c r="D6" s="2" t="s">
        <v>214</v>
      </c>
      <c r="E6" s="2" t="s">
        <v>226</v>
      </c>
      <c r="F6" s="2" t="s">
        <v>231</v>
      </c>
      <c r="G6" s="2">
        <v>5</v>
      </c>
      <c r="H6" s="2">
        <v>852.25</v>
      </c>
      <c r="I6" s="2">
        <v>4261.25</v>
      </c>
      <c r="J6" s="2">
        <v>1086.8399999999999</v>
      </c>
    </row>
    <row r="7" spans="1:10" x14ac:dyDescent="0.3">
      <c r="A7" s="2" t="s">
        <v>15</v>
      </c>
      <c r="B7" s="3">
        <v>45704</v>
      </c>
      <c r="C7" s="2" t="s">
        <v>211</v>
      </c>
      <c r="D7" s="2" t="s">
        <v>217</v>
      </c>
      <c r="E7" s="2" t="s">
        <v>225</v>
      </c>
      <c r="F7" s="2" t="s">
        <v>232</v>
      </c>
      <c r="G7" s="2">
        <v>42</v>
      </c>
      <c r="H7" s="2">
        <v>41.86</v>
      </c>
      <c r="I7" s="2">
        <v>1758.12</v>
      </c>
      <c r="J7" s="2">
        <v>546.25</v>
      </c>
    </row>
    <row r="8" spans="1:10" x14ac:dyDescent="0.3">
      <c r="A8" s="2" t="s">
        <v>16</v>
      </c>
      <c r="B8" s="3">
        <v>45837</v>
      </c>
      <c r="C8" s="2" t="s">
        <v>212</v>
      </c>
      <c r="D8" s="2" t="s">
        <v>216</v>
      </c>
      <c r="E8" s="2" t="s">
        <v>226</v>
      </c>
      <c r="F8" s="2" t="s">
        <v>231</v>
      </c>
      <c r="G8" s="2">
        <v>22</v>
      </c>
      <c r="H8" s="2">
        <v>100.51</v>
      </c>
      <c r="I8" s="2">
        <v>2211.2199999999998</v>
      </c>
      <c r="J8" s="2">
        <v>625.59</v>
      </c>
    </row>
    <row r="9" spans="1:10" x14ac:dyDescent="0.3">
      <c r="A9" s="2" t="s">
        <v>17</v>
      </c>
      <c r="B9" s="3">
        <v>45693</v>
      </c>
      <c r="C9" s="2" t="s">
        <v>212</v>
      </c>
      <c r="D9" s="2" t="s">
        <v>218</v>
      </c>
      <c r="E9" s="2" t="s">
        <v>224</v>
      </c>
      <c r="F9" s="2" t="s">
        <v>233</v>
      </c>
      <c r="G9" s="2">
        <v>16</v>
      </c>
      <c r="H9" s="2">
        <v>936.36</v>
      </c>
      <c r="I9" s="2">
        <v>14981.76</v>
      </c>
      <c r="J9" s="2">
        <v>3859.55</v>
      </c>
    </row>
    <row r="10" spans="1:10" x14ac:dyDescent="0.3">
      <c r="A10" s="2" t="s">
        <v>18</v>
      </c>
      <c r="B10" s="3">
        <v>45784</v>
      </c>
      <c r="C10" s="2" t="s">
        <v>213</v>
      </c>
      <c r="D10" s="2" t="s">
        <v>219</v>
      </c>
      <c r="E10" s="2" t="s">
        <v>225</v>
      </c>
      <c r="F10" s="2" t="s">
        <v>232</v>
      </c>
      <c r="G10" s="2">
        <v>12</v>
      </c>
      <c r="H10" s="2">
        <v>560.1</v>
      </c>
      <c r="I10" s="2">
        <v>6721.2</v>
      </c>
      <c r="J10" s="2">
        <v>1667.62</v>
      </c>
    </row>
    <row r="11" spans="1:10" x14ac:dyDescent="0.3">
      <c r="A11" s="2" t="s">
        <v>19</v>
      </c>
      <c r="B11" s="3">
        <v>45870</v>
      </c>
      <c r="C11" s="2" t="s">
        <v>212</v>
      </c>
      <c r="D11" s="2" t="s">
        <v>220</v>
      </c>
      <c r="E11" s="2" t="s">
        <v>227</v>
      </c>
      <c r="F11" s="2" t="s">
        <v>234</v>
      </c>
      <c r="G11" s="2">
        <v>25</v>
      </c>
      <c r="H11" s="2">
        <v>528.97</v>
      </c>
      <c r="I11" s="2">
        <v>13224.25</v>
      </c>
      <c r="J11" s="2">
        <v>3036.38</v>
      </c>
    </row>
    <row r="12" spans="1:10" x14ac:dyDescent="0.3">
      <c r="A12" s="2" t="s">
        <v>20</v>
      </c>
      <c r="B12" s="3">
        <v>45754</v>
      </c>
      <c r="C12" s="2" t="s">
        <v>210</v>
      </c>
      <c r="D12" s="2" t="s">
        <v>214</v>
      </c>
      <c r="E12" s="2" t="s">
        <v>225</v>
      </c>
      <c r="F12" s="2" t="s">
        <v>235</v>
      </c>
      <c r="G12" s="2">
        <v>36</v>
      </c>
      <c r="H12" s="2">
        <v>656.86</v>
      </c>
      <c r="I12" s="2">
        <v>23646.959999999999</v>
      </c>
      <c r="J12" s="2">
        <v>3259.1</v>
      </c>
    </row>
    <row r="13" spans="1:10" x14ac:dyDescent="0.3">
      <c r="A13" s="2" t="s">
        <v>21</v>
      </c>
      <c r="B13" s="3">
        <v>45847</v>
      </c>
      <c r="C13" s="2" t="s">
        <v>213</v>
      </c>
      <c r="D13" s="2" t="s">
        <v>221</v>
      </c>
      <c r="E13" s="2" t="s">
        <v>225</v>
      </c>
      <c r="F13" s="2" t="s">
        <v>232</v>
      </c>
      <c r="G13" s="2">
        <v>4</v>
      </c>
      <c r="H13" s="2">
        <v>816.2</v>
      </c>
      <c r="I13" s="2">
        <v>3264.8</v>
      </c>
      <c r="J13" s="2">
        <v>524.33000000000004</v>
      </c>
    </row>
    <row r="14" spans="1:10" x14ac:dyDescent="0.3">
      <c r="A14" s="2" t="s">
        <v>22</v>
      </c>
      <c r="B14" s="3">
        <v>45856</v>
      </c>
      <c r="C14" s="2" t="s">
        <v>213</v>
      </c>
      <c r="D14" s="2" t="s">
        <v>221</v>
      </c>
      <c r="E14" s="2" t="s">
        <v>225</v>
      </c>
      <c r="F14" s="2" t="s">
        <v>229</v>
      </c>
      <c r="G14" s="2">
        <v>4</v>
      </c>
      <c r="H14" s="2">
        <v>593.13</v>
      </c>
      <c r="I14" s="2">
        <v>2372.52</v>
      </c>
      <c r="J14" s="2">
        <v>246.35</v>
      </c>
    </row>
    <row r="15" spans="1:10" x14ac:dyDescent="0.3">
      <c r="A15" s="2" t="s">
        <v>23</v>
      </c>
      <c r="B15" s="3">
        <v>45721</v>
      </c>
      <c r="C15" s="2" t="s">
        <v>212</v>
      </c>
      <c r="D15" s="2" t="s">
        <v>220</v>
      </c>
      <c r="E15" s="2" t="s">
        <v>226</v>
      </c>
      <c r="F15" s="2" t="s">
        <v>236</v>
      </c>
      <c r="G15" s="2">
        <v>15</v>
      </c>
      <c r="H15" s="2">
        <v>567</v>
      </c>
      <c r="I15" s="2">
        <v>8505</v>
      </c>
      <c r="J15" s="2">
        <v>2657.71</v>
      </c>
    </row>
    <row r="16" spans="1:10" x14ac:dyDescent="0.3">
      <c r="A16" s="2" t="s">
        <v>24</v>
      </c>
      <c r="B16" s="3">
        <v>45726</v>
      </c>
      <c r="C16" s="2" t="s">
        <v>210</v>
      </c>
      <c r="D16" s="2" t="s">
        <v>220</v>
      </c>
      <c r="E16" s="2" t="s">
        <v>224</v>
      </c>
      <c r="F16" s="2" t="s">
        <v>237</v>
      </c>
      <c r="G16" s="2">
        <v>18</v>
      </c>
      <c r="H16" s="2">
        <v>774.36</v>
      </c>
      <c r="I16" s="2">
        <v>13938.48</v>
      </c>
      <c r="J16" s="2">
        <v>2771.21</v>
      </c>
    </row>
    <row r="17" spans="1:10" x14ac:dyDescent="0.3">
      <c r="A17" s="2" t="s">
        <v>25</v>
      </c>
      <c r="B17" s="3">
        <v>45707</v>
      </c>
      <c r="C17" s="2" t="s">
        <v>212</v>
      </c>
      <c r="D17" s="2" t="s">
        <v>215</v>
      </c>
      <c r="E17" s="2" t="s">
        <v>227</v>
      </c>
      <c r="F17" s="2" t="s">
        <v>238</v>
      </c>
      <c r="G17" s="2">
        <v>12</v>
      </c>
      <c r="H17" s="2">
        <v>698.4</v>
      </c>
      <c r="I17" s="2">
        <v>8380.7999999999993</v>
      </c>
      <c r="J17" s="2">
        <v>2944.83</v>
      </c>
    </row>
    <row r="18" spans="1:10" x14ac:dyDescent="0.3">
      <c r="A18" s="2" t="s">
        <v>26</v>
      </c>
      <c r="B18" s="3">
        <v>45707</v>
      </c>
      <c r="C18" s="2" t="s">
        <v>210</v>
      </c>
      <c r="D18" s="2" t="s">
        <v>216</v>
      </c>
      <c r="E18" s="2" t="s">
        <v>227</v>
      </c>
      <c r="F18" s="2" t="s">
        <v>234</v>
      </c>
      <c r="G18" s="2">
        <v>39</v>
      </c>
      <c r="H18" s="2">
        <v>944.21</v>
      </c>
      <c r="I18" s="2">
        <v>36824.19</v>
      </c>
      <c r="J18" s="2">
        <v>4300.51</v>
      </c>
    </row>
    <row r="19" spans="1:10" x14ac:dyDescent="0.3">
      <c r="A19" s="2" t="s">
        <v>27</v>
      </c>
      <c r="B19" s="3">
        <v>45703</v>
      </c>
      <c r="C19" s="2" t="s">
        <v>213</v>
      </c>
      <c r="D19" s="2" t="s">
        <v>219</v>
      </c>
      <c r="E19" s="2" t="s">
        <v>227</v>
      </c>
      <c r="F19" s="2" t="s">
        <v>239</v>
      </c>
      <c r="G19" s="2">
        <v>25</v>
      </c>
      <c r="H19" s="2">
        <v>874.99</v>
      </c>
      <c r="I19" s="2">
        <v>21874.75</v>
      </c>
      <c r="J19" s="2">
        <v>6935.2</v>
      </c>
    </row>
    <row r="20" spans="1:10" x14ac:dyDescent="0.3">
      <c r="A20" s="2" t="s">
        <v>28</v>
      </c>
      <c r="B20" s="3">
        <v>45715</v>
      </c>
      <c r="C20" s="2" t="s">
        <v>210</v>
      </c>
      <c r="D20" s="2" t="s">
        <v>215</v>
      </c>
      <c r="E20" s="2" t="s">
        <v>225</v>
      </c>
      <c r="F20" s="2" t="s">
        <v>229</v>
      </c>
      <c r="G20" s="2">
        <v>7</v>
      </c>
      <c r="H20" s="2">
        <v>811.5</v>
      </c>
      <c r="I20" s="2">
        <v>5680.5</v>
      </c>
      <c r="J20" s="2">
        <v>1254.6500000000001</v>
      </c>
    </row>
    <row r="21" spans="1:10" x14ac:dyDescent="0.3">
      <c r="A21" s="2" t="s">
        <v>29</v>
      </c>
      <c r="B21" s="3">
        <v>45761</v>
      </c>
      <c r="C21" s="2" t="s">
        <v>211</v>
      </c>
      <c r="D21" s="2" t="s">
        <v>217</v>
      </c>
      <c r="E21" s="2" t="s">
        <v>225</v>
      </c>
      <c r="F21" s="2" t="s">
        <v>229</v>
      </c>
      <c r="G21" s="2">
        <v>26</v>
      </c>
      <c r="H21" s="2">
        <v>793.51</v>
      </c>
      <c r="I21" s="2">
        <v>20631.259999999998</v>
      </c>
      <c r="J21" s="2">
        <v>4528.45</v>
      </c>
    </row>
    <row r="22" spans="1:10" x14ac:dyDescent="0.3">
      <c r="A22" s="2" t="s">
        <v>30</v>
      </c>
      <c r="B22" s="3">
        <v>45833</v>
      </c>
      <c r="C22" s="2" t="s">
        <v>210</v>
      </c>
      <c r="D22" s="2" t="s">
        <v>218</v>
      </c>
      <c r="E22" s="2" t="s">
        <v>225</v>
      </c>
      <c r="F22" s="2" t="s">
        <v>229</v>
      </c>
      <c r="G22" s="2">
        <v>1</v>
      </c>
      <c r="H22" s="2">
        <v>664.86</v>
      </c>
      <c r="I22" s="2">
        <v>664.86</v>
      </c>
      <c r="J22" s="2">
        <v>231.83</v>
      </c>
    </row>
    <row r="23" spans="1:10" x14ac:dyDescent="0.3">
      <c r="A23" s="2" t="s">
        <v>31</v>
      </c>
      <c r="B23" s="3">
        <v>45835</v>
      </c>
      <c r="C23" s="2" t="s">
        <v>213</v>
      </c>
      <c r="D23" s="2" t="s">
        <v>220</v>
      </c>
      <c r="E23" s="2" t="s">
        <v>226</v>
      </c>
      <c r="F23" s="2" t="s">
        <v>240</v>
      </c>
      <c r="G23" s="2">
        <v>2</v>
      </c>
      <c r="H23" s="2">
        <v>794.83</v>
      </c>
      <c r="I23" s="2">
        <v>1589.66</v>
      </c>
      <c r="J23" s="2">
        <v>449.16</v>
      </c>
    </row>
    <row r="24" spans="1:10" x14ac:dyDescent="0.3">
      <c r="A24" s="2" t="s">
        <v>32</v>
      </c>
      <c r="B24" s="3">
        <v>45838</v>
      </c>
      <c r="C24" s="2" t="s">
        <v>210</v>
      </c>
      <c r="D24" s="2" t="s">
        <v>215</v>
      </c>
      <c r="E24" s="2" t="s">
        <v>227</v>
      </c>
      <c r="F24" s="2" t="s">
        <v>239</v>
      </c>
      <c r="G24" s="2">
        <v>38</v>
      </c>
      <c r="H24" s="2">
        <v>472.48</v>
      </c>
      <c r="I24" s="2">
        <v>17954.240000000002</v>
      </c>
      <c r="J24" s="2">
        <v>5375.1</v>
      </c>
    </row>
    <row r="25" spans="1:10" x14ac:dyDescent="0.3">
      <c r="A25" s="2" t="s">
        <v>33</v>
      </c>
      <c r="B25" s="3">
        <v>45731</v>
      </c>
      <c r="C25" s="2" t="s">
        <v>210</v>
      </c>
      <c r="D25" s="2" t="s">
        <v>217</v>
      </c>
      <c r="E25" s="2" t="s">
        <v>226</v>
      </c>
      <c r="F25" s="2" t="s">
        <v>240</v>
      </c>
      <c r="G25" s="2">
        <v>12</v>
      </c>
      <c r="H25" s="2">
        <v>333.55</v>
      </c>
      <c r="I25" s="2">
        <v>4002.6</v>
      </c>
      <c r="J25" s="2">
        <v>1232.02</v>
      </c>
    </row>
    <row r="26" spans="1:10" x14ac:dyDescent="0.3">
      <c r="A26" s="2" t="s">
        <v>34</v>
      </c>
      <c r="B26" s="3">
        <v>45756</v>
      </c>
      <c r="C26" s="2" t="s">
        <v>213</v>
      </c>
      <c r="D26" s="2" t="s">
        <v>214</v>
      </c>
      <c r="E26" s="2" t="s">
        <v>227</v>
      </c>
      <c r="F26" s="2" t="s">
        <v>241</v>
      </c>
      <c r="G26" s="2">
        <v>29</v>
      </c>
      <c r="H26" s="2">
        <v>39.68</v>
      </c>
      <c r="I26" s="2">
        <v>1150.72</v>
      </c>
      <c r="J26" s="2">
        <v>186.22</v>
      </c>
    </row>
    <row r="27" spans="1:10" x14ac:dyDescent="0.3">
      <c r="A27" s="2" t="s">
        <v>35</v>
      </c>
      <c r="B27" s="3">
        <v>45743</v>
      </c>
      <c r="C27" s="2" t="s">
        <v>213</v>
      </c>
      <c r="D27" s="2" t="s">
        <v>215</v>
      </c>
      <c r="E27" s="2" t="s">
        <v>226</v>
      </c>
      <c r="F27" s="2" t="s">
        <v>236</v>
      </c>
      <c r="G27" s="2">
        <v>9</v>
      </c>
      <c r="H27" s="2">
        <v>665.17</v>
      </c>
      <c r="I27" s="2">
        <v>5986.53</v>
      </c>
      <c r="J27" s="2">
        <v>1140.6199999999999</v>
      </c>
    </row>
    <row r="28" spans="1:10" x14ac:dyDescent="0.3">
      <c r="A28" s="2" t="s">
        <v>36</v>
      </c>
      <c r="B28" s="3">
        <v>45859</v>
      </c>
      <c r="C28" s="2" t="s">
        <v>213</v>
      </c>
      <c r="D28" s="2" t="s">
        <v>220</v>
      </c>
      <c r="E28" s="2" t="s">
        <v>224</v>
      </c>
      <c r="F28" s="2" t="s">
        <v>233</v>
      </c>
      <c r="G28" s="2">
        <v>32</v>
      </c>
      <c r="H28" s="2">
        <v>36.700000000000003</v>
      </c>
      <c r="I28" s="2">
        <v>1174.4000000000001</v>
      </c>
      <c r="J28" s="2">
        <v>172.85</v>
      </c>
    </row>
    <row r="29" spans="1:10" x14ac:dyDescent="0.3">
      <c r="A29" s="2" t="s">
        <v>37</v>
      </c>
      <c r="B29" s="3">
        <v>45819</v>
      </c>
      <c r="C29" s="2" t="s">
        <v>212</v>
      </c>
      <c r="D29" s="2" t="s">
        <v>222</v>
      </c>
      <c r="E29" s="2" t="s">
        <v>227</v>
      </c>
      <c r="F29" s="2" t="s">
        <v>238</v>
      </c>
      <c r="G29" s="2">
        <v>21</v>
      </c>
      <c r="H29" s="2">
        <v>876.23</v>
      </c>
      <c r="I29" s="2">
        <v>18400.830000000002</v>
      </c>
      <c r="J29" s="2">
        <v>4648.03</v>
      </c>
    </row>
    <row r="30" spans="1:10" x14ac:dyDescent="0.3">
      <c r="A30" s="2" t="s">
        <v>38</v>
      </c>
      <c r="B30" s="3">
        <v>45827</v>
      </c>
      <c r="C30" s="2" t="s">
        <v>212</v>
      </c>
      <c r="D30" s="2" t="s">
        <v>223</v>
      </c>
      <c r="E30" s="2" t="s">
        <v>226</v>
      </c>
      <c r="F30" s="2" t="s">
        <v>236</v>
      </c>
      <c r="G30" s="2">
        <v>43</v>
      </c>
      <c r="H30" s="2">
        <v>775.45</v>
      </c>
      <c r="I30" s="2">
        <v>33344.35</v>
      </c>
      <c r="J30" s="2">
        <v>5892.8</v>
      </c>
    </row>
    <row r="31" spans="1:10" x14ac:dyDescent="0.3">
      <c r="A31" s="2" t="s">
        <v>39</v>
      </c>
      <c r="B31" s="3">
        <v>45779</v>
      </c>
      <c r="C31" s="2" t="s">
        <v>210</v>
      </c>
      <c r="D31" s="2" t="s">
        <v>217</v>
      </c>
      <c r="E31" s="2" t="s">
        <v>224</v>
      </c>
      <c r="F31" s="2" t="s">
        <v>237</v>
      </c>
      <c r="G31" s="2">
        <v>22</v>
      </c>
      <c r="H31" s="2">
        <v>307.94</v>
      </c>
      <c r="I31" s="2">
        <v>6774.68</v>
      </c>
      <c r="J31" s="2">
        <v>2167.54</v>
      </c>
    </row>
    <row r="32" spans="1:10" x14ac:dyDescent="0.3">
      <c r="A32" s="2" t="s">
        <v>40</v>
      </c>
      <c r="B32" s="3">
        <v>45747</v>
      </c>
      <c r="C32" s="2" t="s">
        <v>210</v>
      </c>
      <c r="D32" s="2" t="s">
        <v>215</v>
      </c>
      <c r="E32" s="2" t="s">
        <v>227</v>
      </c>
      <c r="F32" s="2" t="s">
        <v>241</v>
      </c>
      <c r="G32" s="2">
        <v>7</v>
      </c>
      <c r="H32" s="2">
        <v>546.11</v>
      </c>
      <c r="I32" s="2">
        <v>3822.77</v>
      </c>
      <c r="J32" s="2">
        <v>735.83</v>
      </c>
    </row>
    <row r="33" spans="1:10" x14ac:dyDescent="0.3">
      <c r="A33" s="2" t="s">
        <v>41</v>
      </c>
      <c r="B33" s="3">
        <v>45747</v>
      </c>
      <c r="C33" s="2" t="s">
        <v>210</v>
      </c>
      <c r="D33" s="2" t="s">
        <v>223</v>
      </c>
      <c r="E33" s="2" t="s">
        <v>224</v>
      </c>
      <c r="F33" s="2" t="s">
        <v>233</v>
      </c>
      <c r="G33" s="2">
        <v>31</v>
      </c>
      <c r="H33" s="2">
        <v>938.8</v>
      </c>
      <c r="I33" s="2">
        <v>29102.799999999999</v>
      </c>
      <c r="J33" s="2">
        <v>5740.94</v>
      </c>
    </row>
    <row r="34" spans="1:10" x14ac:dyDescent="0.3">
      <c r="A34" s="2" t="s">
        <v>42</v>
      </c>
      <c r="B34" s="3">
        <v>45745</v>
      </c>
      <c r="C34" s="2" t="s">
        <v>212</v>
      </c>
      <c r="D34" s="2" t="s">
        <v>222</v>
      </c>
      <c r="E34" s="2" t="s">
        <v>225</v>
      </c>
      <c r="F34" s="2" t="s">
        <v>235</v>
      </c>
      <c r="G34" s="2">
        <v>7</v>
      </c>
      <c r="H34" s="2">
        <v>864.94</v>
      </c>
      <c r="I34" s="2">
        <v>6054.58</v>
      </c>
      <c r="J34" s="2">
        <v>1062.06</v>
      </c>
    </row>
    <row r="35" spans="1:10" x14ac:dyDescent="0.3">
      <c r="A35" s="2" t="s">
        <v>43</v>
      </c>
      <c r="B35" s="3">
        <v>45819</v>
      </c>
      <c r="C35" s="2" t="s">
        <v>210</v>
      </c>
      <c r="D35" s="2" t="s">
        <v>223</v>
      </c>
      <c r="E35" s="2" t="s">
        <v>227</v>
      </c>
      <c r="F35" s="2" t="s">
        <v>239</v>
      </c>
      <c r="G35" s="2">
        <v>21</v>
      </c>
      <c r="H35" s="2">
        <v>449.19</v>
      </c>
      <c r="I35" s="2">
        <v>9432.99</v>
      </c>
      <c r="J35" s="2">
        <v>2427.77</v>
      </c>
    </row>
    <row r="36" spans="1:10" x14ac:dyDescent="0.3">
      <c r="A36" s="2" t="s">
        <v>44</v>
      </c>
      <c r="B36" s="3">
        <v>45768</v>
      </c>
      <c r="C36" s="2" t="s">
        <v>212</v>
      </c>
      <c r="D36" s="2" t="s">
        <v>215</v>
      </c>
      <c r="E36" s="2" t="s">
        <v>224</v>
      </c>
      <c r="F36" s="2" t="s">
        <v>228</v>
      </c>
      <c r="G36" s="2">
        <v>25</v>
      </c>
      <c r="H36" s="2">
        <v>278.14</v>
      </c>
      <c r="I36" s="2">
        <v>6953.5</v>
      </c>
      <c r="J36" s="2">
        <v>824.97</v>
      </c>
    </row>
    <row r="37" spans="1:10" x14ac:dyDescent="0.3">
      <c r="A37" s="2" t="s">
        <v>45</v>
      </c>
      <c r="B37" s="3">
        <v>45759</v>
      </c>
      <c r="C37" s="2" t="s">
        <v>212</v>
      </c>
      <c r="D37" s="2" t="s">
        <v>223</v>
      </c>
      <c r="E37" s="2" t="s">
        <v>224</v>
      </c>
      <c r="F37" s="2" t="s">
        <v>233</v>
      </c>
      <c r="G37" s="2">
        <v>19</v>
      </c>
      <c r="H37" s="2">
        <v>209.73</v>
      </c>
      <c r="I37" s="2">
        <v>3984.87</v>
      </c>
      <c r="J37" s="2">
        <v>1590.16</v>
      </c>
    </row>
    <row r="38" spans="1:10" x14ac:dyDescent="0.3">
      <c r="A38" s="2" t="s">
        <v>46</v>
      </c>
      <c r="B38" s="3">
        <v>45812</v>
      </c>
      <c r="C38" s="2" t="s">
        <v>211</v>
      </c>
      <c r="D38" s="2" t="s">
        <v>218</v>
      </c>
      <c r="E38" s="2" t="s">
        <v>224</v>
      </c>
      <c r="F38" s="2" t="s">
        <v>242</v>
      </c>
      <c r="G38" s="2">
        <v>20</v>
      </c>
      <c r="H38" s="2">
        <v>785.72</v>
      </c>
      <c r="I38" s="2">
        <v>15714.4</v>
      </c>
      <c r="J38" s="2">
        <v>6285.26</v>
      </c>
    </row>
    <row r="39" spans="1:10" x14ac:dyDescent="0.3">
      <c r="A39" s="2" t="s">
        <v>47</v>
      </c>
      <c r="B39" s="3">
        <v>45788</v>
      </c>
      <c r="C39" s="2" t="s">
        <v>213</v>
      </c>
      <c r="D39" s="2" t="s">
        <v>223</v>
      </c>
      <c r="E39" s="2" t="s">
        <v>227</v>
      </c>
      <c r="F39" s="2" t="s">
        <v>239</v>
      </c>
      <c r="G39" s="2">
        <v>13</v>
      </c>
      <c r="H39" s="2">
        <v>877.65</v>
      </c>
      <c r="I39" s="2">
        <v>11409.45</v>
      </c>
      <c r="J39" s="2">
        <v>1863.12</v>
      </c>
    </row>
    <row r="40" spans="1:10" x14ac:dyDescent="0.3">
      <c r="A40" s="2" t="s">
        <v>48</v>
      </c>
      <c r="B40" s="3">
        <v>45757</v>
      </c>
      <c r="C40" s="2" t="s">
        <v>210</v>
      </c>
      <c r="D40" s="2" t="s">
        <v>215</v>
      </c>
      <c r="E40" s="2" t="s">
        <v>227</v>
      </c>
      <c r="F40" s="2" t="s">
        <v>241</v>
      </c>
      <c r="G40" s="2">
        <v>45</v>
      </c>
      <c r="H40" s="2">
        <v>372.87</v>
      </c>
      <c r="I40" s="2">
        <v>16779.150000000001</v>
      </c>
      <c r="J40" s="2">
        <v>3167.56</v>
      </c>
    </row>
    <row r="41" spans="1:10" x14ac:dyDescent="0.3">
      <c r="A41" s="2" t="s">
        <v>49</v>
      </c>
      <c r="B41" s="3">
        <v>45808</v>
      </c>
      <c r="C41" s="2" t="s">
        <v>210</v>
      </c>
      <c r="D41" s="2" t="s">
        <v>222</v>
      </c>
      <c r="E41" s="2" t="s">
        <v>224</v>
      </c>
      <c r="F41" s="2" t="s">
        <v>233</v>
      </c>
      <c r="G41" s="2">
        <v>13</v>
      </c>
      <c r="H41" s="2">
        <v>244.28</v>
      </c>
      <c r="I41" s="2">
        <v>3175.64</v>
      </c>
      <c r="J41" s="2">
        <v>950.84</v>
      </c>
    </row>
    <row r="42" spans="1:10" x14ac:dyDescent="0.3">
      <c r="A42" s="2" t="s">
        <v>50</v>
      </c>
      <c r="B42" s="3">
        <v>45695</v>
      </c>
      <c r="C42" s="2" t="s">
        <v>213</v>
      </c>
      <c r="D42" s="2" t="s">
        <v>219</v>
      </c>
      <c r="E42" s="2" t="s">
        <v>226</v>
      </c>
      <c r="F42" s="2" t="s">
        <v>231</v>
      </c>
      <c r="G42" s="2">
        <v>46</v>
      </c>
      <c r="H42" s="2">
        <v>367.31</v>
      </c>
      <c r="I42" s="2">
        <v>16896.259999999998</v>
      </c>
      <c r="J42" s="2">
        <v>4856.4799999999996</v>
      </c>
    </row>
    <row r="43" spans="1:10" x14ac:dyDescent="0.3">
      <c r="A43" s="2" t="s">
        <v>51</v>
      </c>
      <c r="B43" s="3">
        <v>45748</v>
      </c>
      <c r="C43" s="2" t="s">
        <v>210</v>
      </c>
      <c r="D43" s="2" t="s">
        <v>221</v>
      </c>
      <c r="E43" s="2" t="s">
        <v>224</v>
      </c>
      <c r="F43" s="2" t="s">
        <v>242</v>
      </c>
      <c r="G43" s="2">
        <v>42</v>
      </c>
      <c r="H43" s="2">
        <v>163.19999999999999</v>
      </c>
      <c r="I43" s="2">
        <v>6854.4</v>
      </c>
      <c r="J43" s="2">
        <v>2443.62</v>
      </c>
    </row>
    <row r="44" spans="1:10" x14ac:dyDescent="0.3">
      <c r="A44" s="2" t="s">
        <v>52</v>
      </c>
      <c r="B44" s="3">
        <v>45747</v>
      </c>
      <c r="C44" s="2" t="s">
        <v>213</v>
      </c>
      <c r="D44" s="2" t="s">
        <v>222</v>
      </c>
      <c r="E44" s="2" t="s">
        <v>224</v>
      </c>
      <c r="F44" s="2" t="s">
        <v>242</v>
      </c>
      <c r="G44" s="2">
        <v>5</v>
      </c>
      <c r="H44" s="2">
        <v>226.89</v>
      </c>
      <c r="I44" s="2">
        <v>1134.45</v>
      </c>
      <c r="J44" s="2">
        <v>140.41</v>
      </c>
    </row>
    <row r="45" spans="1:10" x14ac:dyDescent="0.3">
      <c r="A45" s="2" t="s">
        <v>53</v>
      </c>
      <c r="B45" s="3">
        <v>45792</v>
      </c>
      <c r="C45" s="2" t="s">
        <v>211</v>
      </c>
      <c r="D45" s="2" t="s">
        <v>218</v>
      </c>
      <c r="E45" s="2" t="s">
        <v>226</v>
      </c>
      <c r="F45" s="2" t="s">
        <v>240</v>
      </c>
      <c r="G45" s="2">
        <v>22</v>
      </c>
      <c r="H45" s="2">
        <v>995.32</v>
      </c>
      <c r="I45" s="2">
        <v>21897.040000000001</v>
      </c>
      <c r="J45" s="2">
        <v>7180.72</v>
      </c>
    </row>
    <row r="46" spans="1:10" x14ac:dyDescent="0.3">
      <c r="A46" s="2" t="s">
        <v>54</v>
      </c>
      <c r="B46" s="3">
        <v>45764</v>
      </c>
      <c r="C46" s="2" t="s">
        <v>211</v>
      </c>
      <c r="D46" s="2" t="s">
        <v>220</v>
      </c>
      <c r="E46" s="2" t="s">
        <v>224</v>
      </c>
      <c r="F46" s="2" t="s">
        <v>237</v>
      </c>
      <c r="G46" s="2">
        <v>27</v>
      </c>
      <c r="H46" s="2">
        <v>403.9</v>
      </c>
      <c r="I46" s="2">
        <v>10905.3</v>
      </c>
      <c r="J46" s="2">
        <v>4179.5200000000004</v>
      </c>
    </row>
    <row r="47" spans="1:10" x14ac:dyDescent="0.3">
      <c r="A47" s="2" t="s">
        <v>55</v>
      </c>
      <c r="B47" s="3">
        <v>45748</v>
      </c>
      <c r="C47" s="2" t="s">
        <v>213</v>
      </c>
      <c r="D47" s="2" t="s">
        <v>217</v>
      </c>
      <c r="E47" s="2" t="s">
        <v>227</v>
      </c>
      <c r="F47" s="2" t="s">
        <v>239</v>
      </c>
      <c r="G47" s="2">
        <v>50</v>
      </c>
      <c r="H47" s="2">
        <v>216.45</v>
      </c>
      <c r="I47" s="2">
        <v>10822.5</v>
      </c>
      <c r="J47" s="2">
        <v>3628.6</v>
      </c>
    </row>
    <row r="48" spans="1:10" x14ac:dyDescent="0.3">
      <c r="A48" s="2" t="s">
        <v>56</v>
      </c>
      <c r="B48" s="3">
        <v>45728</v>
      </c>
      <c r="C48" s="2" t="s">
        <v>213</v>
      </c>
      <c r="D48" s="2" t="s">
        <v>216</v>
      </c>
      <c r="E48" s="2" t="s">
        <v>227</v>
      </c>
      <c r="F48" s="2" t="s">
        <v>241</v>
      </c>
      <c r="G48" s="2">
        <v>25</v>
      </c>
      <c r="H48" s="2">
        <v>38.14</v>
      </c>
      <c r="I48" s="2">
        <v>953.5</v>
      </c>
      <c r="J48" s="2">
        <v>259.26</v>
      </c>
    </row>
    <row r="49" spans="1:10" x14ac:dyDescent="0.3">
      <c r="A49" s="2" t="s">
        <v>57</v>
      </c>
      <c r="B49" s="3">
        <v>45787</v>
      </c>
      <c r="C49" s="2" t="s">
        <v>213</v>
      </c>
      <c r="D49" s="2" t="s">
        <v>222</v>
      </c>
      <c r="E49" s="2" t="s">
        <v>227</v>
      </c>
      <c r="F49" s="2" t="s">
        <v>234</v>
      </c>
      <c r="G49" s="2">
        <v>2</v>
      </c>
      <c r="H49" s="2">
        <v>277</v>
      </c>
      <c r="I49" s="2">
        <v>554</v>
      </c>
      <c r="J49" s="2">
        <v>66.709999999999994</v>
      </c>
    </row>
    <row r="50" spans="1:10" x14ac:dyDescent="0.3">
      <c r="A50" s="2" t="s">
        <v>58</v>
      </c>
      <c r="B50" s="3">
        <v>45703</v>
      </c>
      <c r="C50" s="2" t="s">
        <v>212</v>
      </c>
      <c r="D50" s="2" t="s">
        <v>214</v>
      </c>
      <c r="E50" s="2" t="s">
        <v>225</v>
      </c>
      <c r="F50" s="2" t="s">
        <v>230</v>
      </c>
      <c r="G50" s="2">
        <v>44</v>
      </c>
      <c r="H50" s="2">
        <v>643.29</v>
      </c>
      <c r="I50" s="2">
        <v>28304.76</v>
      </c>
      <c r="J50" s="2">
        <v>5551.23</v>
      </c>
    </row>
    <row r="51" spans="1:10" x14ac:dyDescent="0.3">
      <c r="A51" s="2" t="s">
        <v>59</v>
      </c>
      <c r="B51" s="3">
        <v>45838</v>
      </c>
      <c r="C51" s="2" t="s">
        <v>212</v>
      </c>
      <c r="D51" s="2" t="s">
        <v>215</v>
      </c>
      <c r="E51" s="2" t="s">
        <v>226</v>
      </c>
      <c r="F51" s="2" t="s">
        <v>243</v>
      </c>
      <c r="G51" s="2">
        <v>47</v>
      </c>
      <c r="H51" s="2">
        <v>727.98</v>
      </c>
      <c r="I51" s="2">
        <v>34215.06</v>
      </c>
      <c r="J51" s="2">
        <v>6114.48</v>
      </c>
    </row>
    <row r="52" spans="1:10" x14ac:dyDescent="0.3">
      <c r="A52" s="2" t="s">
        <v>60</v>
      </c>
      <c r="B52" s="3">
        <v>45806</v>
      </c>
      <c r="C52" s="2" t="s">
        <v>212</v>
      </c>
      <c r="D52" s="2" t="s">
        <v>222</v>
      </c>
      <c r="E52" s="2" t="s">
        <v>225</v>
      </c>
      <c r="F52" s="2" t="s">
        <v>232</v>
      </c>
      <c r="G52" s="2">
        <v>13</v>
      </c>
      <c r="H52" s="2">
        <v>117.97</v>
      </c>
      <c r="I52" s="2">
        <v>1533.61</v>
      </c>
      <c r="J52" s="2">
        <v>545.75</v>
      </c>
    </row>
    <row r="53" spans="1:10" x14ac:dyDescent="0.3">
      <c r="A53" s="2" t="s">
        <v>61</v>
      </c>
      <c r="B53" s="3">
        <v>45755</v>
      </c>
      <c r="C53" s="2" t="s">
        <v>213</v>
      </c>
      <c r="D53" s="2" t="s">
        <v>220</v>
      </c>
      <c r="E53" s="2" t="s">
        <v>226</v>
      </c>
      <c r="F53" s="2" t="s">
        <v>236</v>
      </c>
      <c r="G53" s="2">
        <v>32</v>
      </c>
      <c r="H53" s="2">
        <v>557.01</v>
      </c>
      <c r="I53" s="2">
        <v>17824.32</v>
      </c>
      <c r="J53" s="2">
        <v>7110.02</v>
      </c>
    </row>
    <row r="54" spans="1:10" x14ac:dyDescent="0.3">
      <c r="A54" s="2" t="s">
        <v>62</v>
      </c>
      <c r="B54" s="3">
        <v>45709</v>
      </c>
      <c r="C54" s="2" t="s">
        <v>212</v>
      </c>
      <c r="D54" s="2" t="s">
        <v>219</v>
      </c>
      <c r="E54" s="2" t="s">
        <v>226</v>
      </c>
      <c r="F54" s="2" t="s">
        <v>243</v>
      </c>
      <c r="G54" s="2">
        <v>11</v>
      </c>
      <c r="H54" s="2">
        <v>905.91</v>
      </c>
      <c r="I54" s="2">
        <v>9965.01</v>
      </c>
      <c r="J54" s="2">
        <v>3742.67</v>
      </c>
    </row>
    <row r="55" spans="1:10" x14ac:dyDescent="0.3">
      <c r="A55" s="2" t="s">
        <v>63</v>
      </c>
      <c r="B55" s="3">
        <v>45785</v>
      </c>
      <c r="C55" s="2" t="s">
        <v>213</v>
      </c>
      <c r="D55" s="2" t="s">
        <v>216</v>
      </c>
      <c r="E55" s="2" t="s">
        <v>226</v>
      </c>
      <c r="F55" s="2" t="s">
        <v>236</v>
      </c>
      <c r="G55" s="2">
        <v>34</v>
      </c>
      <c r="H55" s="2">
        <v>921.47</v>
      </c>
      <c r="I55" s="2">
        <v>31329.98</v>
      </c>
      <c r="J55" s="2">
        <v>8635.61</v>
      </c>
    </row>
    <row r="56" spans="1:10" x14ac:dyDescent="0.3">
      <c r="A56" s="2" t="s">
        <v>64</v>
      </c>
      <c r="B56" s="3">
        <v>45757</v>
      </c>
      <c r="C56" s="2" t="s">
        <v>211</v>
      </c>
      <c r="D56" s="2" t="s">
        <v>223</v>
      </c>
      <c r="E56" s="2" t="s">
        <v>226</v>
      </c>
      <c r="F56" s="2" t="s">
        <v>236</v>
      </c>
      <c r="G56" s="2">
        <v>5</v>
      </c>
      <c r="H56" s="2">
        <v>907.37</v>
      </c>
      <c r="I56" s="2">
        <v>4536.8500000000004</v>
      </c>
      <c r="J56" s="2">
        <v>1760.26</v>
      </c>
    </row>
    <row r="57" spans="1:10" x14ac:dyDescent="0.3">
      <c r="A57" s="2" t="s">
        <v>65</v>
      </c>
      <c r="B57" s="3">
        <v>45786</v>
      </c>
      <c r="C57" s="2" t="s">
        <v>211</v>
      </c>
      <c r="D57" s="2" t="s">
        <v>221</v>
      </c>
      <c r="E57" s="2" t="s">
        <v>225</v>
      </c>
      <c r="F57" s="2" t="s">
        <v>235</v>
      </c>
      <c r="G57" s="2">
        <v>18</v>
      </c>
      <c r="H57" s="2">
        <v>931.84</v>
      </c>
      <c r="I57" s="2">
        <v>16773.12</v>
      </c>
      <c r="J57" s="2">
        <v>5613.01</v>
      </c>
    </row>
    <row r="58" spans="1:10" x14ac:dyDescent="0.3">
      <c r="A58" s="2" t="s">
        <v>66</v>
      </c>
      <c r="B58" s="3">
        <v>45748</v>
      </c>
      <c r="C58" s="2" t="s">
        <v>212</v>
      </c>
      <c r="D58" s="2" t="s">
        <v>221</v>
      </c>
      <c r="E58" s="2" t="s">
        <v>224</v>
      </c>
      <c r="F58" s="2" t="s">
        <v>233</v>
      </c>
      <c r="G58" s="2">
        <v>27</v>
      </c>
      <c r="H58" s="2">
        <v>510.92</v>
      </c>
      <c r="I58" s="2">
        <v>13794.84</v>
      </c>
      <c r="J58" s="2">
        <v>1554.31</v>
      </c>
    </row>
    <row r="59" spans="1:10" x14ac:dyDescent="0.3">
      <c r="A59" s="2" t="s">
        <v>67</v>
      </c>
      <c r="B59" s="3">
        <v>45815</v>
      </c>
      <c r="C59" s="2" t="s">
        <v>213</v>
      </c>
      <c r="D59" s="2" t="s">
        <v>220</v>
      </c>
      <c r="E59" s="2" t="s">
        <v>226</v>
      </c>
      <c r="F59" s="2" t="s">
        <v>236</v>
      </c>
      <c r="G59" s="2">
        <v>15</v>
      </c>
      <c r="H59" s="2">
        <v>945.16</v>
      </c>
      <c r="I59" s="2">
        <v>14177.4</v>
      </c>
      <c r="J59" s="2">
        <v>2497.64</v>
      </c>
    </row>
    <row r="60" spans="1:10" x14ac:dyDescent="0.3">
      <c r="A60" s="2" t="s">
        <v>68</v>
      </c>
      <c r="B60" s="3">
        <v>45699</v>
      </c>
      <c r="C60" s="2" t="s">
        <v>211</v>
      </c>
      <c r="D60" s="2" t="s">
        <v>216</v>
      </c>
      <c r="E60" s="2" t="s">
        <v>224</v>
      </c>
      <c r="F60" s="2" t="s">
        <v>228</v>
      </c>
      <c r="G60" s="2">
        <v>31</v>
      </c>
      <c r="H60" s="2">
        <v>604.79</v>
      </c>
      <c r="I60" s="2">
        <v>18748.490000000002</v>
      </c>
      <c r="J60" s="2">
        <v>5090.67</v>
      </c>
    </row>
    <row r="61" spans="1:10" x14ac:dyDescent="0.3">
      <c r="A61" s="2" t="s">
        <v>69</v>
      </c>
      <c r="B61" s="3">
        <v>45706</v>
      </c>
      <c r="C61" s="2" t="s">
        <v>212</v>
      </c>
      <c r="D61" s="2" t="s">
        <v>218</v>
      </c>
      <c r="E61" s="2" t="s">
        <v>224</v>
      </c>
      <c r="F61" s="2" t="s">
        <v>237</v>
      </c>
      <c r="G61" s="2">
        <v>39</v>
      </c>
      <c r="H61" s="2">
        <v>91.12</v>
      </c>
      <c r="I61" s="2">
        <v>3553.68</v>
      </c>
      <c r="J61" s="2">
        <v>840.08</v>
      </c>
    </row>
    <row r="62" spans="1:10" x14ac:dyDescent="0.3">
      <c r="A62" s="2" t="s">
        <v>70</v>
      </c>
      <c r="B62" s="3">
        <v>45698</v>
      </c>
      <c r="C62" s="2" t="s">
        <v>213</v>
      </c>
      <c r="D62" s="2" t="s">
        <v>218</v>
      </c>
      <c r="E62" s="2" t="s">
        <v>227</v>
      </c>
      <c r="F62" s="2" t="s">
        <v>241</v>
      </c>
      <c r="G62" s="2">
        <v>28</v>
      </c>
      <c r="H62" s="2">
        <v>350.91</v>
      </c>
      <c r="I62" s="2">
        <v>9825.48</v>
      </c>
      <c r="J62" s="2">
        <v>3159.5</v>
      </c>
    </row>
    <row r="63" spans="1:10" x14ac:dyDescent="0.3">
      <c r="A63" s="2" t="s">
        <v>71</v>
      </c>
      <c r="B63" s="3">
        <v>45710</v>
      </c>
      <c r="C63" s="2" t="s">
        <v>210</v>
      </c>
      <c r="D63" s="2" t="s">
        <v>221</v>
      </c>
      <c r="E63" s="2" t="s">
        <v>224</v>
      </c>
      <c r="F63" s="2" t="s">
        <v>242</v>
      </c>
      <c r="G63" s="2">
        <v>48</v>
      </c>
      <c r="H63" s="2">
        <v>385.05</v>
      </c>
      <c r="I63" s="2">
        <v>18482.400000000001</v>
      </c>
      <c r="J63" s="2">
        <v>4131.33</v>
      </c>
    </row>
    <row r="64" spans="1:10" x14ac:dyDescent="0.3">
      <c r="A64" s="2" t="s">
        <v>72</v>
      </c>
      <c r="B64" s="3">
        <v>45836</v>
      </c>
      <c r="C64" s="2" t="s">
        <v>212</v>
      </c>
      <c r="D64" s="2" t="s">
        <v>215</v>
      </c>
      <c r="E64" s="2" t="s">
        <v>227</v>
      </c>
      <c r="F64" s="2" t="s">
        <v>239</v>
      </c>
      <c r="G64" s="2">
        <v>25</v>
      </c>
      <c r="H64" s="2">
        <v>207.59</v>
      </c>
      <c r="I64" s="2">
        <v>5189.75</v>
      </c>
      <c r="J64" s="2">
        <v>623.30999999999995</v>
      </c>
    </row>
    <row r="65" spans="1:10" x14ac:dyDescent="0.3">
      <c r="A65" s="2" t="s">
        <v>73</v>
      </c>
      <c r="B65" s="3">
        <v>45717</v>
      </c>
      <c r="C65" s="2" t="s">
        <v>212</v>
      </c>
      <c r="D65" s="2" t="s">
        <v>223</v>
      </c>
      <c r="E65" s="2" t="s">
        <v>226</v>
      </c>
      <c r="F65" s="2" t="s">
        <v>243</v>
      </c>
      <c r="G65" s="2">
        <v>26</v>
      </c>
      <c r="H65" s="2">
        <v>308.01</v>
      </c>
      <c r="I65" s="2">
        <v>8008.26</v>
      </c>
      <c r="J65" s="2">
        <v>1321.46</v>
      </c>
    </row>
    <row r="66" spans="1:10" x14ac:dyDescent="0.3">
      <c r="A66" s="2" t="s">
        <v>74</v>
      </c>
      <c r="B66" s="3">
        <v>45861</v>
      </c>
      <c r="C66" s="2" t="s">
        <v>211</v>
      </c>
      <c r="D66" s="2" t="s">
        <v>216</v>
      </c>
      <c r="E66" s="2" t="s">
        <v>227</v>
      </c>
      <c r="F66" s="2" t="s">
        <v>238</v>
      </c>
      <c r="G66" s="2">
        <v>15</v>
      </c>
      <c r="H66" s="2">
        <v>956.75</v>
      </c>
      <c r="I66" s="2">
        <v>14351.25</v>
      </c>
      <c r="J66" s="2">
        <v>5350.87</v>
      </c>
    </row>
    <row r="67" spans="1:10" x14ac:dyDescent="0.3">
      <c r="A67" s="2" t="s">
        <v>75</v>
      </c>
      <c r="B67" s="3">
        <v>45712</v>
      </c>
      <c r="C67" s="2" t="s">
        <v>211</v>
      </c>
      <c r="D67" s="2" t="s">
        <v>223</v>
      </c>
      <c r="E67" s="2" t="s">
        <v>226</v>
      </c>
      <c r="F67" s="2" t="s">
        <v>243</v>
      </c>
      <c r="G67" s="2">
        <v>4</v>
      </c>
      <c r="H67" s="2">
        <v>257.19</v>
      </c>
      <c r="I67" s="2">
        <v>1028.76</v>
      </c>
      <c r="J67" s="2">
        <v>264.48</v>
      </c>
    </row>
    <row r="68" spans="1:10" x14ac:dyDescent="0.3">
      <c r="A68" s="2" t="s">
        <v>76</v>
      </c>
      <c r="B68" s="3">
        <v>45810</v>
      </c>
      <c r="C68" s="2" t="s">
        <v>210</v>
      </c>
      <c r="D68" s="2" t="s">
        <v>216</v>
      </c>
      <c r="E68" s="2" t="s">
        <v>225</v>
      </c>
      <c r="F68" s="2" t="s">
        <v>229</v>
      </c>
      <c r="G68" s="2">
        <v>31</v>
      </c>
      <c r="H68" s="2">
        <v>368.73</v>
      </c>
      <c r="I68" s="2">
        <v>11430.63</v>
      </c>
      <c r="J68" s="2">
        <v>3130.23</v>
      </c>
    </row>
    <row r="69" spans="1:10" x14ac:dyDescent="0.3">
      <c r="A69" s="2" t="s">
        <v>77</v>
      </c>
      <c r="B69" s="3">
        <v>45750</v>
      </c>
      <c r="C69" s="2" t="s">
        <v>212</v>
      </c>
      <c r="D69" s="2" t="s">
        <v>219</v>
      </c>
      <c r="E69" s="2" t="s">
        <v>226</v>
      </c>
      <c r="F69" s="2" t="s">
        <v>243</v>
      </c>
      <c r="G69" s="2">
        <v>48</v>
      </c>
      <c r="H69" s="2">
        <v>872.58</v>
      </c>
      <c r="I69" s="2">
        <v>41883.839999999997</v>
      </c>
      <c r="J69" s="2">
        <v>13039.41</v>
      </c>
    </row>
    <row r="70" spans="1:10" x14ac:dyDescent="0.3">
      <c r="A70" s="2" t="s">
        <v>78</v>
      </c>
      <c r="B70" s="3">
        <v>45715</v>
      </c>
      <c r="C70" s="2" t="s">
        <v>212</v>
      </c>
      <c r="D70" s="2" t="s">
        <v>218</v>
      </c>
      <c r="E70" s="2" t="s">
        <v>225</v>
      </c>
      <c r="F70" s="2" t="s">
        <v>229</v>
      </c>
      <c r="G70" s="2">
        <v>23</v>
      </c>
      <c r="H70" s="2">
        <v>317.44</v>
      </c>
      <c r="I70" s="2">
        <v>7301.12</v>
      </c>
      <c r="J70" s="2">
        <v>2039.87</v>
      </c>
    </row>
    <row r="71" spans="1:10" x14ac:dyDescent="0.3">
      <c r="A71" s="2" t="s">
        <v>79</v>
      </c>
      <c r="B71" s="3">
        <v>45755</v>
      </c>
      <c r="C71" s="2" t="s">
        <v>210</v>
      </c>
      <c r="D71" s="2" t="s">
        <v>219</v>
      </c>
      <c r="E71" s="2" t="s">
        <v>225</v>
      </c>
      <c r="F71" s="2" t="s">
        <v>232</v>
      </c>
      <c r="G71" s="2">
        <v>35</v>
      </c>
      <c r="H71" s="2">
        <v>84.88</v>
      </c>
      <c r="I71" s="2">
        <v>2970.8</v>
      </c>
      <c r="J71" s="2">
        <v>1116.8800000000001</v>
      </c>
    </row>
    <row r="72" spans="1:10" x14ac:dyDescent="0.3">
      <c r="A72" s="2" t="s">
        <v>80</v>
      </c>
      <c r="B72" s="3">
        <v>45744</v>
      </c>
      <c r="C72" s="2" t="s">
        <v>212</v>
      </c>
      <c r="D72" s="2" t="s">
        <v>217</v>
      </c>
      <c r="E72" s="2" t="s">
        <v>225</v>
      </c>
      <c r="F72" s="2" t="s">
        <v>230</v>
      </c>
      <c r="G72" s="2">
        <v>41</v>
      </c>
      <c r="H72" s="2">
        <v>209.18</v>
      </c>
      <c r="I72" s="2">
        <v>8576.3799999999992</v>
      </c>
      <c r="J72" s="2">
        <v>2925.94</v>
      </c>
    </row>
    <row r="73" spans="1:10" x14ac:dyDescent="0.3">
      <c r="A73" s="2" t="s">
        <v>81</v>
      </c>
      <c r="B73" s="3">
        <v>45817</v>
      </c>
      <c r="C73" s="2" t="s">
        <v>211</v>
      </c>
      <c r="D73" s="2" t="s">
        <v>220</v>
      </c>
      <c r="E73" s="2" t="s">
        <v>227</v>
      </c>
      <c r="F73" s="2" t="s">
        <v>234</v>
      </c>
      <c r="G73" s="2">
        <v>10</v>
      </c>
      <c r="H73" s="2">
        <v>200.85</v>
      </c>
      <c r="I73" s="2">
        <v>2008.5</v>
      </c>
      <c r="J73" s="2">
        <v>389.15</v>
      </c>
    </row>
    <row r="74" spans="1:10" x14ac:dyDescent="0.3">
      <c r="A74" s="2" t="s">
        <v>82</v>
      </c>
      <c r="B74" s="3">
        <v>45690</v>
      </c>
      <c r="C74" s="2" t="s">
        <v>213</v>
      </c>
      <c r="D74" s="2" t="s">
        <v>221</v>
      </c>
      <c r="E74" s="2" t="s">
        <v>224</v>
      </c>
      <c r="F74" s="2" t="s">
        <v>233</v>
      </c>
      <c r="G74" s="2">
        <v>34</v>
      </c>
      <c r="H74" s="2">
        <v>47.68</v>
      </c>
      <c r="I74" s="2">
        <v>1621.12</v>
      </c>
      <c r="J74" s="2">
        <v>197.56</v>
      </c>
    </row>
    <row r="75" spans="1:10" x14ac:dyDescent="0.3">
      <c r="A75" s="2" t="s">
        <v>83</v>
      </c>
      <c r="B75" s="3">
        <v>45730</v>
      </c>
      <c r="C75" s="2" t="s">
        <v>211</v>
      </c>
      <c r="D75" s="2" t="s">
        <v>218</v>
      </c>
      <c r="E75" s="2" t="s">
        <v>224</v>
      </c>
      <c r="F75" s="2" t="s">
        <v>242</v>
      </c>
      <c r="G75" s="2">
        <v>35</v>
      </c>
      <c r="H75" s="2">
        <v>134.77000000000001</v>
      </c>
      <c r="I75" s="2">
        <v>4716.95</v>
      </c>
      <c r="J75" s="2">
        <v>1191.8499999999999</v>
      </c>
    </row>
    <row r="76" spans="1:10" x14ac:dyDescent="0.3">
      <c r="A76" s="2" t="s">
        <v>84</v>
      </c>
      <c r="B76" s="3">
        <v>45786</v>
      </c>
      <c r="C76" s="2" t="s">
        <v>211</v>
      </c>
      <c r="D76" s="2" t="s">
        <v>219</v>
      </c>
      <c r="E76" s="2" t="s">
        <v>227</v>
      </c>
      <c r="F76" s="2" t="s">
        <v>238</v>
      </c>
      <c r="G76" s="2">
        <v>40</v>
      </c>
      <c r="H76" s="2">
        <v>31.81</v>
      </c>
      <c r="I76" s="2">
        <v>1272.4000000000001</v>
      </c>
      <c r="J76" s="2">
        <v>425.55</v>
      </c>
    </row>
    <row r="77" spans="1:10" x14ac:dyDescent="0.3">
      <c r="A77" s="2" t="s">
        <v>85</v>
      </c>
      <c r="B77" s="3">
        <v>45866</v>
      </c>
      <c r="C77" s="2" t="s">
        <v>213</v>
      </c>
      <c r="D77" s="2" t="s">
        <v>221</v>
      </c>
      <c r="E77" s="2" t="s">
        <v>227</v>
      </c>
      <c r="F77" s="2" t="s">
        <v>234</v>
      </c>
      <c r="G77" s="2">
        <v>50</v>
      </c>
      <c r="H77" s="2">
        <v>531.32000000000005</v>
      </c>
      <c r="I77" s="2">
        <v>26566</v>
      </c>
      <c r="J77" s="2">
        <v>6025.01</v>
      </c>
    </row>
    <row r="78" spans="1:10" x14ac:dyDescent="0.3">
      <c r="A78" s="2" t="s">
        <v>86</v>
      </c>
      <c r="B78" s="3">
        <v>45736</v>
      </c>
      <c r="C78" s="2" t="s">
        <v>213</v>
      </c>
      <c r="D78" s="2" t="s">
        <v>217</v>
      </c>
      <c r="E78" s="2" t="s">
        <v>225</v>
      </c>
      <c r="F78" s="2" t="s">
        <v>229</v>
      </c>
      <c r="G78" s="2">
        <v>10</v>
      </c>
      <c r="H78" s="2">
        <v>177.35</v>
      </c>
      <c r="I78" s="2">
        <v>1773.5</v>
      </c>
      <c r="J78" s="2">
        <v>395.61</v>
      </c>
    </row>
    <row r="79" spans="1:10" x14ac:dyDescent="0.3">
      <c r="A79" s="2" t="s">
        <v>87</v>
      </c>
      <c r="B79" s="3">
        <v>45710</v>
      </c>
      <c r="C79" s="2" t="s">
        <v>211</v>
      </c>
      <c r="D79" s="2" t="s">
        <v>222</v>
      </c>
      <c r="E79" s="2" t="s">
        <v>226</v>
      </c>
      <c r="F79" s="2" t="s">
        <v>236</v>
      </c>
      <c r="G79" s="2">
        <v>27</v>
      </c>
      <c r="H79" s="2">
        <v>556</v>
      </c>
      <c r="I79" s="2">
        <v>15012</v>
      </c>
      <c r="J79" s="2">
        <v>4684.63</v>
      </c>
    </row>
    <row r="80" spans="1:10" x14ac:dyDescent="0.3">
      <c r="A80" s="2" t="s">
        <v>88</v>
      </c>
      <c r="B80" s="3">
        <v>45731</v>
      </c>
      <c r="C80" s="2" t="s">
        <v>210</v>
      </c>
      <c r="D80" s="2" t="s">
        <v>223</v>
      </c>
      <c r="E80" s="2" t="s">
        <v>226</v>
      </c>
      <c r="F80" s="2" t="s">
        <v>240</v>
      </c>
      <c r="G80" s="2">
        <v>44</v>
      </c>
      <c r="H80" s="2">
        <v>130.11000000000001</v>
      </c>
      <c r="I80" s="2">
        <v>5724.84</v>
      </c>
      <c r="J80" s="2">
        <v>2102.9299999999998</v>
      </c>
    </row>
    <row r="81" spans="1:10" x14ac:dyDescent="0.3">
      <c r="A81" s="2" t="s">
        <v>89</v>
      </c>
      <c r="B81" s="3">
        <v>45771</v>
      </c>
      <c r="C81" s="2" t="s">
        <v>213</v>
      </c>
      <c r="D81" s="2" t="s">
        <v>223</v>
      </c>
      <c r="E81" s="2" t="s">
        <v>225</v>
      </c>
      <c r="F81" s="2" t="s">
        <v>235</v>
      </c>
      <c r="G81" s="2">
        <v>31</v>
      </c>
      <c r="H81" s="2">
        <v>181.48</v>
      </c>
      <c r="I81" s="2">
        <v>5625.88</v>
      </c>
      <c r="J81" s="2">
        <v>1006.87</v>
      </c>
    </row>
    <row r="82" spans="1:10" x14ac:dyDescent="0.3">
      <c r="A82" s="2" t="s">
        <v>90</v>
      </c>
      <c r="B82" s="3">
        <v>45839</v>
      </c>
      <c r="C82" s="2" t="s">
        <v>213</v>
      </c>
      <c r="D82" s="2" t="s">
        <v>216</v>
      </c>
      <c r="E82" s="2" t="s">
        <v>224</v>
      </c>
      <c r="F82" s="2" t="s">
        <v>242</v>
      </c>
      <c r="G82" s="2">
        <v>8</v>
      </c>
      <c r="H82" s="2">
        <v>950.31</v>
      </c>
      <c r="I82" s="2">
        <v>7602.48</v>
      </c>
      <c r="J82" s="2">
        <v>1435.04</v>
      </c>
    </row>
    <row r="83" spans="1:10" x14ac:dyDescent="0.3">
      <c r="A83" s="2" t="s">
        <v>91</v>
      </c>
      <c r="B83" s="3">
        <v>45759</v>
      </c>
      <c r="C83" s="2" t="s">
        <v>213</v>
      </c>
      <c r="D83" s="2" t="s">
        <v>217</v>
      </c>
      <c r="E83" s="2" t="s">
        <v>226</v>
      </c>
      <c r="F83" s="2" t="s">
        <v>236</v>
      </c>
      <c r="G83" s="2">
        <v>42</v>
      </c>
      <c r="H83" s="2">
        <v>281.67</v>
      </c>
      <c r="I83" s="2">
        <v>11830.14</v>
      </c>
      <c r="J83" s="2">
        <v>4032.16</v>
      </c>
    </row>
    <row r="84" spans="1:10" x14ac:dyDescent="0.3">
      <c r="A84" s="2" t="s">
        <v>92</v>
      </c>
      <c r="B84" s="3">
        <v>45757</v>
      </c>
      <c r="C84" s="2" t="s">
        <v>212</v>
      </c>
      <c r="D84" s="2" t="s">
        <v>221</v>
      </c>
      <c r="E84" s="2" t="s">
        <v>224</v>
      </c>
      <c r="F84" s="2" t="s">
        <v>237</v>
      </c>
      <c r="G84" s="2">
        <v>15</v>
      </c>
      <c r="H84" s="2">
        <v>269.27999999999997</v>
      </c>
      <c r="I84" s="2">
        <v>4039.2</v>
      </c>
      <c r="J84" s="2">
        <v>827.25</v>
      </c>
    </row>
    <row r="85" spans="1:10" x14ac:dyDescent="0.3">
      <c r="A85" s="2" t="s">
        <v>93</v>
      </c>
      <c r="B85" s="3">
        <v>45727</v>
      </c>
      <c r="C85" s="2" t="s">
        <v>210</v>
      </c>
      <c r="D85" s="2" t="s">
        <v>218</v>
      </c>
      <c r="E85" s="2" t="s">
        <v>226</v>
      </c>
      <c r="F85" s="2" t="s">
        <v>236</v>
      </c>
      <c r="G85" s="2">
        <v>24</v>
      </c>
      <c r="H85" s="2">
        <v>856.72</v>
      </c>
      <c r="I85" s="2">
        <v>20561.28</v>
      </c>
      <c r="J85" s="2">
        <v>3844.03</v>
      </c>
    </row>
    <row r="86" spans="1:10" x14ac:dyDescent="0.3">
      <c r="A86" s="2" t="s">
        <v>94</v>
      </c>
      <c r="B86" s="3">
        <v>45701</v>
      </c>
      <c r="C86" s="2" t="s">
        <v>211</v>
      </c>
      <c r="D86" s="2" t="s">
        <v>217</v>
      </c>
      <c r="E86" s="2" t="s">
        <v>224</v>
      </c>
      <c r="F86" s="2" t="s">
        <v>228</v>
      </c>
      <c r="G86" s="2">
        <v>36</v>
      </c>
      <c r="H86" s="2">
        <v>367.98</v>
      </c>
      <c r="I86" s="2">
        <v>13247.28</v>
      </c>
      <c r="J86" s="2">
        <v>3498.9</v>
      </c>
    </row>
    <row r="87" spans="1:10" x14ac:dyDescent="0.3">
      <c r="A87" s="2" t="s">
        <v>95</v>
      </c>
      <c r="B87" s="3">
        <v>45852</v>
      </c>
      <c r="C87" s="2" t="s">
        <v>211</v>
      </c>
      <c r="D87" s="2" t="s">
        <v>222</v>
      </c>
      <c r="E87" s="2" t="s">
        <v>224</v>
      </c>
      <c r="F87" s="2" t="s">
        <v>233</v>
      </c>
      <c r="G87" s="2">
        <v>24</v>
      </c>
      <c r="H87" s="2">
        <v>449.14</v>
      </c>
      <c r="I87" s="2">
        <v>10779.36</v>
      </c>
      <c r="J87" s="2">
        <v>3626.54</v>
      </c>
    </row>
    <row r="88" spans="1:10" x14ac:dyDescent="0.3">
      <c r="A88" s="2" t="s">
        <v>96</v>
      </c>
      <c r="B88" s="3">
        <v>45708</v>
      </c>
      <c r="C88" s="2" t="s">
        <v>212</v>
      </c>
      <c r="D88" s="2" t="s">
        <v>217</v>
      </c>
      <c r="E88" s="2" t="s">
        <v>227</v>
      </c>
      <c r="F88" s="2" t="s">
        <v>241</v>
      </c>
      <c r="G88" s="2">
        <v>35</v>
      </c>
      <c r="H88" s="2">
        <v>874.81</v>
      </c>
      <c r="I88" s="2">
        <v>30618.35</v>
      </c>
      <c r="J88" s="2">
        <v>11759.34</v>
      </c>
    </row>
    <row r="89" spans="1:10" x14ac:dyDescent="0.3">
      <c r="A89" s="2" t="s">
        <v>97</v>
      </c>
      <c r="B89" s="3">
        <v>45827</v>
      </c>
      <c r="C89" s="2" t="s">
        <v>213</v>
      </c>
      <c r="D89" s="2" t="s">
        <v>223</v>
      </c>
      <c r="E89" s="2" t="s">
        <v>227</v>
      </c>
      <c r="F89" s="2" t="s">
        <v>239</v>
      </c>
      <c r="G89" s="2">
        <v>40</v>
      </c>
      <c r="H89" s="2">
        <v>10.41</v>
      </c>
      <c r="I89" s="2">
        <v>416.4</v>
      </c>
      <c r="J89" s="2">
        <v>89.25</v>
      </c>
    </row>
    <row r="90" spans="1:10" x14ac:dyDescent="0.3">
      <c r="A90" s="2" t="s">
        <v>98</v>
      </c>
      <c r="B90" s="3">
        <v>45852</v>
      </c>
      <c r="C90" s="2" t="s">
        <v>210</v>
      </c>
      <c r="D90" s="2" t="s">
        <v>221</v>
      </c>
      <c r="E90" s="2" t="s">
        <v>226</v>
      </c>
      <c r="F90" s="2" t="s">
        <v>240</v>
      </c>
      <c r="G90" s="2">
        <v>22</v>
      </c>
      <c r="H90" s="2">
        <v>328.78</v>
      </c>
      <c r="I90" s="2">
        <v>7233.16</v>
      </c>
      <c r="J90" s="2">
        <v>2673.7</v>
      </c>
    </row>
    <row r="91" spans="1:10" x14ac:dyDescent="0.3">
      <c r="A91" s="2" t="s">
        <v>99</v>
      </c>
      <c r="B91" s="3">
        <v>45852</v>
      </c>
      <c r="C91" s="2" t="s">
        <v>210</v>
      </c>
      <c r="D91" s="2" t="s">
        <v>215</v>
      </c>
      <c r="E91" s="2" t="s">
        <v>227</v>
      </c>
      <c r="F91" s="2" t="s">
        <v>241</v>
      </c>
      <c r="G91" s="2">
        <v>12</v>
      </c>
      <c r="H91" s="2">
        <v>161.06</v>
      </c>
      <c r="I91" s="2">
        <v>1932.72</v>
      </c>
      <c r="J91" s="2">
        <v>752.34</v>
      </c>
    </row>
    <row r="92" spans="1:10" x14ac:dyDescent="0.3">
      <c r="A92" s="2" t="s">
        <v>100</v>
      </c>
      <c r="B92" s="3">
        <v>45712</v>
      </c>
      <c r="C92" s="2" t="s">
        <v>210</v>
      </c>
      <c r="D92" s="2" t="s">
        <v>216</v>
      </c>
      <c r="E92" s="2" t="s">
        <v>227</v>
      </c>
      <c r="F92" s="2" t="s">
        <v>241</v>
      </c>
      <c r="G92" s="2">
        <v>21</v>
      </c>
      <c r="H92" s="2">
        <v>922.11</v>
      </c>
      <c r="I92" s="2">
        <v>19364.310000000001</v>
      </c>
      <c r="J92" s="2">
        <v>5250.81</v>
      </c>
    </row>
    <row r="93" spans="1:10" x14ac:dyDescent="0.3">
      <c r="A93" s="2" t="s">
        <v>101</v>
      </c>
      <c r="B93" s="3">
        <v>45733</v>
      </c>
      <c r="C93" s="2" t="s">
        <v>211</v>
      </c>
      <c r="D93" s="2" t="s">
        <v>218</v>
      </c>
      <c r="E93" s="2" t="s">
        <v>227</v>
      </c>
      <c r="F93" s="2" t="s">
        <v>238</v>
      </c>
      <c r="G93" s="2">
        <v>39</v>
      </c>
      <c r="H93" s="2">
        <v>862.98</v>
      </c>
      <c r="I93" s="2">
        <v>33656.22</v>
      </c>
      <c r="J93" s="2">
        <v>4712.3900000000003</v>
      </c>
    </row>
    <row r="94" spans="1:10" x14ac:dyDescent="0.3">
      <c r="A94" s="2" t="s">
        <v>102</v>
      </c>
      <c r="B94" s="3">
        <v>45819</v>
      </c>
      <c r="C94" s="2" t="s">
        <v>211</v>
      </c>
      <c r="D94" s="2" t="s">
        <v>222</v>
      </c>
      <c r="E94" s="2" t="s">
        <v>224</v>
      </c>
      <c r="F94" s="2" t="s">
        <v>237</v>
      </c>
      <c r="G94" s="2">
        <v>28</v>
      </c>
      <c r="H94" s="2">
        <v>998.77</v>
      </c>
      <c r="I94" s="2">
        <v>27965.56</v>
      </c>
      <c r="J94" s="2">
        <v>3017.37</v>
      </c>
    </row>
    <row r="95" spans="1:10" x14ac:dyDescent="0.3">
      <c r="A95" s="2" t="s">
        <v>103</v>
      </c>
      <c r="B95" s="3">
        <v>45756</v>
      </c>
      <c r="C95" s="2" t="s">
        <v>210</v>
      </c>
      <c r="D95" s="2" t="s">
        <v>216</v>
      </c>
      <c r="E95" s="2" t="s">
        <v>224</v>
      </c>
      <c r="F95" s="2" t="s">
        <v>228</v>
      </c>
      <c r="G95" s="2">
        <v>15</v>
      </c>
      <c r="H95" s="2">
        <v>798.52</v>
      </c>
      <c r="I95" s="2">
        <v>11977.8</v>
      </c>
      <c r="J95" s="2">
        <v>4314.75</v>
      </c>
    </row>
    <row r="96" spans="1:10" x14ac:dyDescent="0.3">
      <c r="A96" s="2" t="s">
        <v>104</v>
      </c>
      <c r="B96" s="3">
        <v>45766</v>
      </c>
      <c r="C96" s="2" t="s">
        <v>213</v>
      </c>
      <c r="D96" s="2" t="s">
        <v>221</v>
      </c>
      <c r="E96" s="2" t="s">
        <v>226</v>
      </c>
      <c r="F96" s="2" t="s">
        <v>240</v>
      </c>
      <c r="G96" s="2">
        <v>14</v>
      </c>
      <c r="H96" s="2">
        <v>555.20000000000005</v>
      </c>
      <c r="I96" s="2">
        <v>7772.8</v>
      </c>
      <c r="J96" s="2">
        <v>939.19</v>
      </c>
    </row>
    <row r="97" spans="1:10" x14ac:dyDescent="0.3">
      <c r="A97" s="2" t="s">
        <v>105</v>
      </c>
      <c r="B97" s="3">
        <v>45788</v>
      </c>
      <c r="C97" s="2" t="s">
        <v>212</v>
      </c>
      <c r="D97" s="2" t="s">
        <v>218</v>
      </c>
      <c r="E97" s="2" t="s">
        <v>224</v>
      </c>
      <c r="F97" s="2" t="s">
        <v>233</v>
      </c>
      <c r="G97" s="2">
        <v>4</v>
      </c>
      <c r="H97" s="2">
        <v>350.84</v>
      </c>
      <c r="I97" s="2">
        <v>1403.36</v>
      </c>
      <c r="J97" s="2">
        <v>151.88999999999999</v>
      </c>
    </row>
    <row r="98" spans="1:10" x14ac:dyDescent="0.3">
      <c r="A98" s="2" t="s">
        <v>106</v>
      </c>
      <c r="B98" s="3">
        <v>45752</v>
      </c>
      <c r="C98" s="2" t="s">
        <v>212</v>
      </c>
      <c r="D98" s="2" t="s">
        <v>218</v>
      </c>
      <c r="E98" s="2" t="s">
        <v>227</v>
      </c>
      <c r="F98" s="2" t="s">
        <v>238</v>
      </c>
      <c r="G98" s="2">
        <v>19</v>
      </c>
      <c r="H98" s="2">
        <v>439.29</v>
      </c>
      <c r="I98" s="2">
        <v>8346.51</v>
      </c>
      <c r="J98" s="2">
        <v>946.6</v>
      </c>
    </row>
    <row r="99" spans="1:10" x14ac:dyDescent="0.3">
      <c r="A99" s="2" t="s">
        <v>107</v>
      </c>
      <c r="B99" s="3">
        <v>45733</v>
      </c>
      <c r="C99" s="2" t="s">
        <v>211</v>
      </c>
      <c r="D99" s="2" t="s">
        <v>222</v>
      </c>
      <c r="E99" s="2" t="s">
        <v>225</v>
      </c>
      <c r="F99" s="2" t="s">
        <v>235</v>
      </c>
      <c r="G99" s="2">
        <v>37</v>
      </c>
      <c r="H99" s="2">
        <v>78.959999999999994</v>
      </c>
      <c r="I99" s="2">
        <v>2921.52</v>
      </c>
      <c r="J99" s="2">
        <v>348.1</v>
      </c>
    </row>
    <row r="100" spans="1:10" x14ac:dyDescent="0.3">
      <c r="A100" s="2" t="s">
        <v>108</v>
      </c>
      <c r="B100" s="3">
        <v>45755</v>
      </c>
      <c r="C100" s="2" t="s">
        <v>211</v>
      </c>
      <c r="D100" s="2" t="s">
        <v>223</v>
      </c>
      <c r="E100" s="2" t="s">
        <v>225</v>
      </c>
      <c r="F100" s="2" t="s">
        <v>232</v>
      </c>
      <c r="G100" s="2">
        <v>42</v>
      </c>
      <c r="H100" s="2">
        <v>44.78</v>
      </c>
      <c r="I100" s="2">
        <v>1880.76</v>
      </c>
      <c r="J100" s="2">
        <v>384.73</v>
      </c>
    </row>
    <row r="101" spans="1:10" x14ac:dyDescent="0.3">
      <c r="A101" s="2" t="s">
        <v>109</v>
      </c>
      <c r="B101" s="3">
        <v>45784</v>
      </c>
      <c r="C101" s="2" t="s">
        <v>213</v>
      </c>
      <c r="D101" s="2" t="s">
        <v>215</v>
      </c>
      <c r="E101" s="2" t="s">
        <v>227</v>
      </c>
      <c r="F101" s="2" t="s">
        <v>241</v>
      </c>
      <c r="G101" s="2">
        <v>44</v>
      </c>
      <c r="H101" s="2">
        <v>412.29</v>
      </c>
      <c r="I101" s="2">
        <v>18140.759999999998</v>
      </c>
      <c r="J101" s="2">
        <v>4783.45</v>
      </c>
    </row>
    <row r="102" spans="1:10" x14ac:dyDescent="0.3">
      <c r="A102" s="2" t="s">
        <v>110</v>
      </c>
      <c r="B102" s="3">
        <v>45691</v>
      </c>
      <c r="C102" s="2" t="s">
        <v>213</v>
      </c>
      <c r="D102" s="2" t="s">
        <v>220</v>
      </c>
      <c r="E102" s="2" t="s">
        <v>227</v>
      </c>
      <c r="F102" s="2" t="s">
        <v>234</v>
      </c>
      <c r="G102" s="2">
        <v>45</v>
      </c>
      <c r="H102" s="2">
        <v>569.14</v>
      </c>
      <c r="I102" s="2">
        <v>25611.3</v>
      </c>
      <c r="J102" s="2">
        <v>5651.02</v>
      </c>
    </row>
    <row r="103" spans="1:10" x14ac:dyDescent="0.3">
      <c r="A103" s="2" t="s">
        <v>111</v>
      </c>
      <c r="B103" s="3">
        <v>45861</v>
      </c>
      <c r="C103" s="2" t="s">
        <v>213</v>
      </c>
      <c r="D103" s="2" t="s">
        <v>221</v>
      </c>
      <c r="E103" s="2" t="s">
        <v>225</v>
      </c>
      <c r="F103" s="2" t="s">
        <v>232</v>
      </c>
      <c r="G103" s="2">
        <v>8</v>
      </c>
      <c r="H103" s="2">
        <v>765.95</v>
      </c>
      <c r="I103" s="2">
        <v>6127.6</v>
      </c>
      <c r="J103" s="2">
        <v>2116.64</v>
      </c>
    </row>
    <row r="104" spans="1:10" x14ac:dyDescent="0.3">
      <c r="A104" s="2" t="s">
        <v>112</v>
      </c>
      <c r="B104" s="3">
        <v>45698</v>
      </c>
      <c r="C104" s="2" t="s">
        <v>213</v>
      </c>
      <c r="D104" s="2" t="s">
        <v>218</v>
      </c>
      <c r="E104" s="2" t="s">
        <v>224</v>
      </c>
      <c r="F104" s="2" t="s">
        <v>228</v>
      </c>
      <c r="G104" s="2">
        <v>28</v>
      </c>
      <c r="H104" s="2">
        <v>41.84</v>
      </c>
      <c r="I104" s="2">
        <v>1171.52</v>
      </c>
      <c r="J104" s="2">
        <v>388.76</v>
      </c>
    </row>
    <row r="105" spans="1:10" x14ac:dyDescent="0.3">
      <c r="A105" s="2" t="s">
        <v>113</v>
      </c>
      <c r="B105" s="3">
        <v>45733</v>
      </c>
      <c r="C105" s="2" t="s">
        <v>212</v>
      </c>
      <c r="D105" s="2" t="s">
        <v>221</v>
      </c>
      <c r="E105" s="2" t="s">
        <v>225</v>
      </c>
      <c r="F105" s="2" t="s">
        <v>229</v>
      </c>
      <c r="G105" s="2">
        <v>36</v>
      </c>
      <c r="H105" s="2">
        <v>787.42</v>
      </c>
      <c r="I105" s="2">
        <v>28347.119999999999</v>
      </c>
      <c r="J105" s="2">
        <v>10375.459999999999</v>
      </c>
    </row>
    <row r="106" spans="1:10" x14ac:dyDescent="0.3">
      <c r="A106" s="2" t="s">
        <v>114</v>
      </c>
      <c r="B106" s="3">
        <v>45838</v>
      </c>
      <c r="C106" s="2" t="s">
        <v>213</v>
      </c>
      <c r="D106" s="2" t="s">
        <v>215</v>
      </c>
      <c r="E106" s="2" t="s">
        <v>225</v>
      </c>
      <c r="F106" s="2" t="s">
        <v>235</v>
      </c>
      <c r="G106" s="2">
        <v>5</v>
      </c>
      <c r="H106" s="2">
        <v>218.62</v>
      </c>
      <c r="I106" s="2">
        <v>1093.0999999999999</v>
      </c>
      <c r="J106" s="2">
        <v>125.55</v>
      </c>
    </row>
    <row r="107" spans="1:10" x14ac:dyDescent="0.3">
      <c r="A107" s="2" t="s">
        <v>115</v>
      </c>
      <c r="B107" s="3">
        <v>45830</v>
      </c>
      <c r="C107" s="2" t="s">
        <v>211</v>
      </c>
      <c r="D107" s="2" t="s">
        <v>218</v>
      </c>
      <c r="E107" s="2" t="s">
        <v>226</v>
      </c>
      <c r="F107" s="2" t="s">
        <v>231</v>
      </c>
      <c r="G107" s="2">
        <v>9</v>
      </c>
      <c r="H107" s="2">
        <v>899.9</v>
      </c>
      <c r="I107" s="2">
        <v>8099.1</v>
      </c>
      <c r="J107" s="2">
        <v>1958.25</v>
      </c>
    </row>
    <row r="108" spans="1:10" x14ac:dyDescent="0.3">
      <c r="A108" s="2" t="s">
        <v>116</v>
      </c>
      <c r="B108" s="3">
        <v>45772</v>
      </c>
      <c r="C108" s="2" t="s">
        <v>211</v>
      </c>
      <c r="D108" s="2" t="s">
        <v>218</v>
      </c>
      <c r="E108" s="2" t="s">
        <v>227</v>
      </c>
      <c r="F108" s="2" t="s">
        <v>241</v>
      </c>
      <c r="G108" s="2">
        <v>24</v>
      </c>
      <c r="H108" s="2">
        <v>16.72</v>
      </c>
      <c r="I108" s="2">
        <v>401.28</v>
      </c>
      <c r="J108" s="2">
        <v>112</v>
      </c>
    </row>
    <row r="109" spans="1:10" x14ac:dyDescent="0.3">
      <c r="A109" s="2" t="s">
        <v>117</v>
      </c>
      <c r="B109" s="3">
        <v>45692</v>
      </c>
      <c r="C109" s="2" t="s">
        <v>213</v>
      </c>
      <c r="D109" s="2" t="s">
        <v>214</v>
      </c>
      <c r="E109" s="2" t="s">
        <v>225</v>
      </c>
      <c r="F109" s="2" t="s">
        <v>230</v>
      </c>
      <c r="G109" s="2">
        <v>33</v>
      </c>
      <c r="H109" s="2">
        <v>644.38</v>
      </c>
      <c r="I109" s="2">
        <v>21264.54</v>
      </c>
      <c r="J109" s="2">
        <v>4153</v>
      </c>
    </row>
    <row r="110" spans="1:10" x14ac:dyDescent="0.3">
      <c r="A110" s="2" t="s">
        <v>118</v>
      </c>
      <c r="B110" s="3">
        <v>45739</v>
      </c>
      <c r="C110" s="2" t="s">
        <v>213</v>
      </c>
      <c r="D110" s="2" t="s">
        <v>218</v>
      </c>
      <c r="E110" s="2" t="s">
        <v>226</v>
      </c>
      <c r="F110" s="2" t="s">
        <v>243</v>
      </c>
      <c r="G110" s="2">
        <v>34</v>
      </c>
      <c r="H110" s="2">
        <v>582.73</v>
      </c>
      <c r="I110" s="2">
        <v>19812.82</v>
      </c>
      <c r="J110" s="2">
        <v>5216.82</v>
      </c>
    </row>
    <row r="111" spans="1:10" x14ac:dyDescent="0.3">
      <c r="A111" s="2" t="s">
        <v>119</v>
      </c>
      <c r="B111" s="3">
        <v>45753</v>
      </c>
      <c r="C111" s="2" t="s">
        <v>210</v>
      </c>
      <c r="D111" s="2" t="s">
        <v>217</v>
      </c>
      <c r="E111" s="2" t="s">
        <v>227</v>
      </c>
      <c r="F111" s="2" t="s">
        <v>239</v>
      </c>
      <c r="G111" s="2">
        <v>46</v>
      </c>
      <c r="H111" s="2">
        <v>487.44</v>
      </c>
      <c r="I111" s="2">
        <v>22422.240000000002</v>
      </c>
      <c r="J111" s="2">
        <v>8015.13</v>
      </c>
    </row>
    <row r="112" spans="1:10" x14ac:dyDescent="0.3">
      <c r="A112" s="2" t="s">
        <v>120</v>
      </c>
      <c r="B112" s="3">
        <v>45712</v>
      </c>
      <c r="C112" s="2" t="s">
        <v>213</v>
      </c>
      <c r="D112" s="2" t="s">
        <v>223</v>
      </c>
      <c r="E112" s="2" t="s">
        <v>225</v>
      </c>
      <c r="F112" s="2" t="s">
        <v>232</v>
      </c>
      <c r="G112" s="2">
        <v>14</v>
      </c>
      <c r="H112" s="2">
        <v>934.86</v>
      </c>
      <c r="I112" s="2">
        <v>13088.04</v>
      </c>
      <c r="J112" s="2">
        <v>1753.17</v>
      </c>
    </row>
    <row r="113" spans="1:10" x14ac:dyDescent="0.3">
      <c r="A113" s="2" t="s">
        <v>121</v>
      </c>
      <c r="B113" s="3">
        <v>45848</v>
      </c>
      <c r="C113" s="2" t="s">
        <v>213</v>
      </c>
      <c r="D113" s="2" t="s">
        <v>215</v>
      </c>
      <c r="E113" s="2" t="s">
        <v>225</v>
      </c>
      <c r="F113" s="2" t="s">
        <v>235</v>
      </c>
      <c r="G113" s="2">
        <v>38</v>
      </c>
      <c r="H113" s="2">
        <v>989.68</v>
      </c>
      <c r="I113" s="2">
        <v>37607.839999999997</v>
      </c>
      <c r="J113" s="2">
        <v>6979.16</v>
      </c>
    </row>
    <row r="114" spans="1:10" x14ac:dyDescent="0.3">
      <c r="A114" s="2" t="s">
        <v>122</v>
      </c>
      <c r="B114" s="3">
        <v>45706</v>
      </c>
      <c r="C114" s="2" t="s">
        <v>212</v>
      </c>
      <c r="D114" s="2" t="s">
        <v>214</v>
      </c>
      <c r="E114" s="2" t="s">
        <v>227</v>
      </c>
      <c r="F114" s="2" t="s">
        <v>238</v>
      </c>
      <c r="G114" s="2">
        <v>41</v>
      </c>
      <c r="H114" s="2">
        <v>103.8</v>
      </c>
      <c r="I114" s="2">
        <v>4255.8</v>
      </c>
      <c r="J114" s="2">
        <v>1286.6400000000001</v>
      </c>
    </row>
    <row r="115" spans="1:10" x14ac:dyDescent="0.3">
      <c r="A115" s="2" t="s">
        <v>123</v>
      </c>
      <c r="B115" s="3">
        <v>45710</v>
      </c>
      <c r="C115" s="2" t="s">
        <v>213</v>
      </c>
      <c r="D115" s="2" t="s">
        <v>222</v>
      </c>
      <c r="E115" s="2" t="s">
        <v>226</v>
      </c>
      <c r="F115" s="2" t="s">
        <v>236</v>
      </c>
      <c r="G115" s="2">
        <v>33</v>
      </c>
      <c r="H115" s="2">
        <v>843.2</v>
      </c>
      <c r="I115" s="2">
        <v>27825.599999999999</v>
      </c>
      <c r="J115" s="2">
        <v>9421.16</v>
      </c>
    </row>
    <row r="116" spans="1:10" x14ac:dyDescent="0.3">
      <c r="A116" s="2" t="s">
        <v>124</v>
      </c>
      <c r="B116" s="3">
        <v>45822</v>
      </c>
      <c r="C116" s="2" t="s">
        <v>213</v>
      </c>
      <c r="D116" s="2" t="s">
        <v>220</v>
      </c>
      <c r="E116" s="2" t="s">
        <v>227</v>
      </c>
      <c r="F116" s="2" t="s">
        <v>238</v>
      </c>
      <c r="G116" s="2">
        <v>4</v>
      </c>
      <c r="H116" s="2">
        <v>217.08</v>
      </c>
      <c r="I116" s="2">
        <v>868.32</v>
      </c>
      <c r="J116" s="2">
        <v>108.81</v>
      </c>
    </row>
    <row r="117" spans="1:10" x14ac:dyDescent="0.3">
      <c r="A117" s="2" t="s">
        <v>125</v>
      </c>
      <c r="B117" s="3">
        <v>45707</v>
      </c>
      <c r="C117" s="2" t="s">
        <v>212</v>
      </c>
      <c r="D117" s="2" t="s">
        <v>216</v>
      </c>
      <c r="E117" s="2" t="s">
        <v>227</v>
      </c>
      <c r="F117" s="2" t="s">
        <v>238</v>
      </c>
      <c r="G117" s="2">
        <v>37</v>
      </c>
      <c r="H117" s="2">
        <v>47.46</v>
      </c>
      <c r="I117" s="2">
        <v>1756.02</v>
      </c>
      <c r="J117" s="2">
        <v>342.73</v>
      </c>
    </row>
    <row r="118" spans="1:10" x14ac:dyDescent="0.3">
      <c r="A118" s="2" t="s">
        <v>126</v>
      </c>
      <c r="B118" s="3">
        <v>45791</v>
      </c>
      <c r="C118" s="2" t="s">
        <v>211</v>
      </c>
      <c r="D118" s="2" t="s">
        <v>216</v>
      </c>
      <c r="E118" s="2" t="s">
        <v>226</v>
      </c>
      <c r="F118" s="2" t="s">
        <v>231</v>
      </c>
      <c r="G118" s="2">
        <v>25</v>
      </c>
      <c r="H118" s="2">
        <v>97.23</v>
      </c>
      <c r="I118" s="2">
        <v>2430.75</v>
      </c>
      <c r="J118" s="2">
        <v>762.03</v>
      </c>
    </row>
    <row r="119" spans="1:10" x14ac:dyDescent="0.3">
      <c r="A119" s="2" t="s">
        <v>127</v>
      </c>
      <c r="B119" s="3">
        <v>45726</v>
      </c>
      <c r="C119" s="2" t="s">
        <v>213</v>
      </c>
      <c r="D119" s="2" t="s">
        <v>218</v>
      </c>
      <c r="E119" s="2" t="s">
        <v>226</v>
      </c>
      <c r="F119" s="2" t="s">
        <v>231</v>
      </c>
      <c r="G119" s="2">
        <v>43</v>
      </c>
      <c r="H119" s="2">
        <v>772.42</v>
      </c>
      <c r="I119" s="2">
        <v>33214.06</v>
      </c>
      <c r="J119" s="2">
        <v>6856.41</v>
      </c>
    </row>
    <row r="120" spans="1:10" x14ac:dyDescent="0.3">
      <c r="A120" s="2" t="s">
        <v>128</v>
      </c>
      <c r="B120" s="3">
        <v>45728</v>
      </c>
      <c r="C120" s="2" t="s">
        <v>213</v>
      </c>
      <c r="D120" s="2" t="s">
        <v>223</v>
      </c>
      <c r="E120" s="2" t="s">
        <v>227</v>
      </c>
      <c r="F120" s="2" t="s">
        <v>241</v>
      </c>
      <c r="G120" s="2">
        <v>36</v>
      </c>
      <c r="H120" s="2">
        <v>406.22</v>
      </c>
      <c r="I120" s="2">
        <v>14623.92</v>
      </c>
      <c r="J120" s="2">
        <v>1725.64</v>
      </c>
    </row>
    <row r="121" spans="1:10" x14ac:dyDescent="0.3">
      <c r="A121" s="2" t="s">
        <v>129</v>
      </c>
      <c r="B121" s="3">
        <v>45724</v>
      </c>
      <c r="C121" s="2" t="s">
        <v>210</v>
      </c>
      <c r="D121" s="2" t="s">
        <v>218</v>
      </c>
      <c r="E121" s="2" t="s">
        <v>225</v>
      </c>
      <c r="F121" s="2" t="s">
        <v>230</v>
      </c>
      <c r="G121" s="2">
        <v>41</v>
      </c>
      <c r="H121" s="2">
        <v>772.05</v>
      </c>
      <c r="I121" s="2">
        <v>31654.05</v>
      </c>
      <c r="J121" s="2">
        <v>10848.81</v>
      </c>
    </row>
    <row r="122" spans="1:10" x14ac:dyDescent="0.3">
      <c r="A122" s="2" t="s">
        <v>130</v>
      </c>
      <c r="B122" s="3">
        <v>45757</v>
      </c>
      <c r="C122" s="2" t="s">
        <v>212</v>
      </c>
      <c r="D122" s="2" t="s">
        <v>222</v>
      </c>
      <c r="E122" s="2" t="s">
        <v>224</v>
      </c>
      <c r="F122" s="2" t="s">
        <v>233</v>
      </c>
      <c r="G122" s="2">
        <v>29</v>
      </c>
      <c r="H122" s="2">
        <v>535.37</v>
      </c>
      <c r="I122" s="2">
        <v>15525.73</v>
      </c>
      <c r="J122" s="2">
        <v>5428.31</v>
      </c>
    </row>
    <row r="123" spans="1:10" x14ac:dyDescent="0.3">
      <c r="A123" s="2" t="s">
        <v>131</v>
      </c>
      <c r="B123" s="3">
        <v>45853</v>
      </c>
      <c r="C123" s="2" t="s">
        <v>210</v>
      </c>
      <c r="D123" s="2" t="s">
        <v>218</v>
      </c>
      <c r="E123" s="2" t="s">
        <v>226</v>
      </c>
      <c r="F123" s="2" t="s">
        <v>236</v>
      </c>
      <c r="G123" s="2">
        <v>29</v>
      </c>
      <c r="H123" s="2">
        <v>186.06</v>
      </c>
      <c r="I123" s="2">
        <v>5395.74</v>
      </c>
      <c r="J123" s="2">
        <v>1662.31</v>
      </c>
    </row>
    <row r="124" spans="1:10" x14ac:dyDescent="0.3">
      <c r="A124" s="2" t="s">
        <v>132</v>
      </c>
      <c r="B124" s="3">
        <v>45722</v>
      </c>
      <c r="C124" s="2" t="s">
        <v>210</v>
      </c>
      <c r="D124" s="2" t="s">
        <v>215</v>
      </c>
      <c r="E124" s="2" t="s">
        <v>225</v>
      </c>
      <c r="F124" s="2" t="s">
        <v>230</v>
      </c>
      <c r="G124" s="2">
        <v>41</v>
      </c>
      <c r="H124" s="2">
        <v>354.17</v>
      </c>
      <c r="I124" s="2">
        <v>14520.97</v>
      </c>
      <c r="J124" s="2">
        <v>1471.86</v>
      </c>
    </row>
    <row r="125" spans="1:10" x14ac:dyDescent="0.3">
      <c r="A125" s="2" t="s">
        <v>133</v>
      </c>
      <c r="B125" s="3">
        <v>45735</v>
      </c>
      <c r="C125" s="2" t="s">
        <v>212</v>
      </c>
      <c r="D125" s="2" t="s">
        <v>219</v>
      </c>
      <c r="E125" s="2" t="s">
        <v>225</v>
      </c>
      <c r="F125" s="2" t="s">
        <v>232</v>
      </c>
      <c r="G125" s="2">
        <v>46</v>
      </c>
      <c r="H125" s="2">
        <v>778.6</v>
      </c>
      <c r="I125" s="2">
        <v>35815.599999999999</v>
      </c>
      <c r="J125" s="2">
        <v>9782.51</v>
      </c>
    </row>
    <row r="126" spans="1:10" x14ac:dyDescent="0.3">
      <c r="A126" s="2" t="s">
        <v>134</v>
      </c>
      <c r="B126" s="3">
        <v>45720</v>
      </c>
      <c r="C126" s="2" t="s">
        <v>211</v>
      </c>
      <c r="D126" s="2" t="s">
        <v>218</v>
      </c>
      <c r="E126" s="2" t="s">
        <v>226</v>
      </c>
      <c r="F126" s="2" t="s">
        <v>231</v>
      </c>
      <c r="G126" s="2">
        <v>30</v>
      </c>
      <c r="H126" s="2">
        <v>925.79</v>
      </c>
      <c r="I126" s="2">
        <v>27773.7</v>
      </c>
      <c r="J126" s="2">
        <v>10923.41</v>
      </c>
    </row>
    <row r="127" spans="1:10" x14ac:dyDescent="0.3">
      <c r="A127" s="2" t="s">
        <v>135</v>
      </c>
      <c r="B127" s="3">
        <v>45858</v>
      </c>
      <c r="C127" s="2" t="s">
        <v>212</v>
      </c>
      <c r="D127" s="2" t="s">
        <v>221</v>
      </c>
      <c r="E127" s="2" t="s">
        <v>227</v>
      </c>
      <c r="F127" s="2" t="s">
        <v>241</v>
      </c>
      <c r="G127" s="2">
        <v>21</v>
      </c>
      <c r="H127" s="2">
        <v>727.97</v>
      </c>
      <c r="I127" s="2">
        <v>15287.37</v>
      </c>
      <c r="J127" s="2">
        <v>4830.82</v>
      </c>
    </row>
    <row r="128" spans="1:10" x14ac:dyDescent="0.3">
      <c r="A128" s="2" t="s">
        <v>136</v>
      </c>
      <c r="B128" s="3">
        <v>45836</v>
      </c>
      <c r="C128" s="2" t="s">
        <v>213</v>
      </c>
      <c r="D128" s="2" t="s">
        <v>218</v>
      </c>
      <c r="E128" s="2" t="s">
        <v>224</v>
      </c>
      <c r="F128" s="2" t="s">
        <v>242</v>
      </c>
      <c r="G128" s="2">
        <v>4</v>
      </c>
      <c r="H128" s="2">
        <v>72.66</v>
      </c>
      <c r="I128" s="2">
        <v>290.64</v>
      </c>
      <c r="J128" s="2">
        <v>29.4</v>
      </c>
    </row>
    <row r="129" spans="1:10" x14ac:dyDescent="0.3">
      <c r="A129" s="2" t="s">
        <v>137</v>
      </c>
      <c r="B129" s="3">
        <v>45819</v>
      </c>
      <c r="C129" s="2" t="s">
        <v>210</v>
      </c>
      <c r="D129" s="2" t="s">
        <v>215</v>
      </c>
      <c r="E129" s="2" t="s">
        <v>226</v>
      </c>
      <c r="F129" s="2" t="s">
        <v>231</v>
      </c>
      <c r="G129" s="2">
        <v>14</v>
      </c>
      <c r="H129" s="2">
        <v>30.35</v>
      </c>
      <c r="I129" s="2">
        <v>424.9</v>
      </c>
      <c r="J129" s="2">
        <v>77.180000000000007</v>
      </c>
    </row>
    <row r="130" spans="1:10" x14ac:dyDescent="0.3">
      <c r="A130" s="2" t="s">
        <v>138</v>
      </c>
      <c r="B130" s="3">
        <v>45849</v>
      </c>
      <c r="C130" s="2" t="s">
        <v>210</v>
      </c>
      <c r="D130" s="2" t="s">
        <v>221</v>
      </c>
      <c r="E130" s="2" t="s">
        <v>227</v>
      </c>
      <c r="F130" s="2" t="s">
        <v>241</v>
      </c>
      <c r="G130" s="2">
        <v>3</v>
      </c>
      <c r="H130" s="2">
        <v>201.06</v>
      </c>
      <c r="I130" s="2">
        <v>603.17999999999995</v>
      </c>
      <c r="J130" s="2">
        <v>145.09</v>
      </c>
    </row>
    <row r="131" spans="1:10" x14ac:dyDescent="0.3">
      <c r="A131" s="2" t="s">
        <v>139</v>
      </c>
      <c r="B131" s="3">
        <v>45825</v>
      </c>
      <c r="C131" s="2" t="s">
        <v>212</v>
      </c>
      <c r="D131" s="2" t="s">
        <v>222</v>
      </c>
      <c r="E131" s="2" t="s">
        <v>225</v>
      </c>
      <c r="F131" s="2" t="s">
        <v>232</v>
      </c>
      <c r="G131" s="2">
        <v>33</v>
      </c>
      <c r="H131" s="2">
        <v>719.12</v>
      </c>
      <c r="I131" s="2">
        <v>23730.959999999999</v>
      </c>
      <c r="J131" s="2">
        <v>5534.49</v>
      </c>
    </row>
    <row r="132" spans="1:10" x14ac:dyDescent="0.3">
      <c r="A132" s="2" t="s">
        <v>140</v>
      </c>
      <c r="B132" s="3">
        <v>45810</v>
      </c>
      <c r="C132" s="2" t="s">
        <v>211</v>
      </c>
      <c r="D132" s="2" t="s">
        <v>219</v>
      </c>
      <c r="E132" s="2" t="s">
        <v>225</v>
      </c>
      <c r="F132" s="2" t="s">
        <v>235</v>
      </c>
      <c r="G132" s="2">
        <v>35</v>
      </c>
      <c r="H132" s="2">
        <v>166.57</v>
      </c>
      <c r="I132" s="2">
        <v>5829.95</v>
      </c>
      <c r="J132" s="2">
        <v>1985.95</v>
      </c>
    </row>
    <row r="133" spans="1:10" x14ac:dyDescent="0.3">
      <c r="A133" s="2" t="s">
        <v>141</v>
      </c>
      <c r="B133" s="3">
        <v>45740</v>
      </c>
      <c r="C133" s="2" t="s">
        <v>210</v>
      </c>
      <c r="D133" s="2" t="s">
        <v>217</v>
      </c>
      <c r="E133" s="2" t="s">
        <v>224</v>
      </c>
      <c r="F133" s="2" t="s">
        <v>237</v>
      </c>
      <c r="G133" s="2">
        <v>26</v>
      </c>
      <c r="H133" s="2">
        <v>32.29</v>
      </c>
      <c r="I133" s="2">
        <v>839.54</v>
      </c>
      <c r="J133" s="2">
        <v>182.64</v>
      </c>
    </row>
    <row r="134" spans="1:10" x14ac:dyDescent="0.3">
      <c r="A134" s="2" t="s">
        <v>142</v>
      </c>
      <c r="B134" s="3">
        <v>45757</v>
      </c>
      <c r="C134" s="2" t="s">
        <v>213</v>
      </c>
      <c r="D134" s="2" t="s">
        <v>215</v>
      </c>
      <c r="E134" s="2" t="s">
        <v>227</v>
      </c>
      <c r="F134" s="2" t="s">
        <v>241</v>
      </c>
      <c r="G134" s="2">
        <v>27</v>
      </c>
      <c r="H134" s="2">
        <v>582.79999999999995</v>
      </c>
      <c r="I134" s="2">
        <v>15735.6</v>
      </c>
      <c r="J134" s="2">
        <v>3969.89</v>
      </c>
    </row>
    <row r="135" spans="1:10" x14ac:dyDescent="0.3">
      <c r="A135" s="2" t="s">
        <v>143</v>
      </c>
      <c r="B135" s="3">
        <v>45849</v>
      </c>
      <c r="C135" s="2" t="s">
        <v>213</v>
      </c>
      <c r="D135" s="2" t="s">
        <v>223</v>
      </c>
      <c r="E135" s="2" t="s">
        <v>226</v>
      </c>
      <c r="F135" s="2" t="s">
        <v>231</v>
      </c>
      <c r="G135" s="2">
        <v>22</v>
      </c>
      <c r="H135" s="2">
        <v>694.04</v>
      </c>
      <c r="I135" s="2">
        <v>15268.88</v>
      </c>
      <c r="J135" s="2">
        <v>3530.7</v>
      </c>
    </row>
    <row r="136" spans="1:10" x14ac:dyDescent="0.3">
      <c r="A136" s="2" t="s">
        <v>144</v>
      </c>
      <c r="B136" s="3">
        <v>45733</v>
      </c>
      <c r="C136" s="2" t="s">
        <v>211</v>
      </c>
      <c r="D136" s="2" t="s">
        <v>217</v>
      </c>
      <c r="E136" s="2" t="s">
        <v>225</v>
      </c>
      <c r="F136" s="2" t="s">
        <v>232</v>
      </c>
      <c r="G136" s="2">
        <v>31</v>
      </c>
      <c r="H136" s="2">
        <v>181.53</v>
      </c>
      <c r="I136" s="2">
        <v>5627.43</v>
      </c>
      <c r="J136" s="2">
        <v>1564.78</v>
      </c>
    </row>
    <row r="137" spans="1:10" x14ac:dyDescent="0.3">
      <c r="A137" s="2" t="s">
        <v>145</v>
      </c>
      <c r="B137" s="3">
        <v>45725</v>
      </c>
      <c r="C137" s="2" t="s">
        <v>212</v>
      </c>
      <c r="D137" s="2" t="s">
        <v>223</v>
      </c>
      <c r="E137" s="2" t="s">
        <v>225</v>
      </c>
      <c r="F137" s="2" t="s">
        <v>229</v>
      </c>
      <c r="G137" s="2">
        <v>36</v>
      </c>
      <c r="H137" s="2">
        <v>420.8</v>
      </c>
      <c r="I137" s="2">
        <v>15148.8</v>
      </c>
      <c r="J137" s="2">
        <v>2894.02</v>
      </c>
    </row>
    <row r="138" spans="1:10" x14ac:dyDescent="0.3">
      <c r="A138" s="2" t="s">
        <v>146</v>
      </c>
      <c r="B138" s="3">
        <v>45802</v>
      </c>
      <c r="C138" s="2" t="s">
        <v>211</v>
      </c>
      <c r="D138" s="2" t="s">
        <v>216</v>
      </c>
      <c r="E138" s="2" t="s">
        <v>227</v>
      </c>
      <c r="F138" s="2" t="s">
        <v>239</v>
      </c>
      <c r="G138" s="2">
        <v>26</v>
      </c>
      <c r="H138" s="2">
        <v>607</v>
      </c>
      <c r="I138" s="2">
        <v>15782</v>
      </c>
      <c r="J138" s="2">
        <v>6003.91</v>
      </c>
    </row>
    <row r="139" spans="1:10" x14ac:dyDescent="0.3">
      <c r="A139" s="2" t="s">
        <v>147</v>
      </c>
      <c r="B139" s="3">
        <v>45777</v>
      </c>
      <c r="C139" s="2" t="s">
        <v>212</v>
      </c>
      <c r="D139" s="2" t="s">
        <v>222</v>
      </c>
      <c r="E139" s="2" t="s">
        <v>226</v>
      </c>
      <c r="F139" s="2" t="s">
        <v>236</v>
      </c>
      <c r="G139" s="2">
        <v>25</v>
      </c>
      <c r="H139" s="2">
        <v>218.24</v>
      </c>
      <c r="I139" s="2">
        <v>5456</v>
      </c>
      <c r="J139" s="2">
        <v>1474.4</v>
      </c>
    </row>
    <row r="140" spans="1:10" x14ac:dyDescent="0.3">
      <c r="A140" s="2" t="s">
        <v>148</v>
      </c>
      <c r="B140" s="3">
        <v>45868</v>
      </c>
      <c r="C140" s="2" t="s">
        <v>211</v>
      </c>
      <c r="D140" s="2" t="s">
        <v>223</v>
      </c>
      <c r="E140" s="2" t="s">
        <v>226</v>
      </c>
      <c r="F140" s="2" t="s">
        <v>240</v>
      </c>
      <c r="G140" s="2">
        <v>37</v>
      </c>
      <c r="H140" s="2">
        <v>734.84</v>
      </c>
      <c r="I140" s="2">
        <v>27189.08</v>
      </c>
      <c r="J140" s="2">
        <v>8963.7900000000009</v>
      </c>
    </row>
    <row r="141" spans="1:10" x14ac:dyDescent="0.3">
      <c r="A141" s="2" t="s">
        <v>149</v>
      </c>
      <c r="B141" s="3">
        <v>45742</v>
      </c>
      <c r="C141" s="2" t="s">
        <v>213</v>
      </c>
      <c r="D141" s="2" t="s">
        <v>223</v>
      </c>
      <c r="E141" s="2" t="s">
        <v>227</v>
      </c>
      <c r="F141" s="2" t="s">
        <v>234</v>
      </c>
      <c r="G141" s="2">
        <v>50</v>
      </c>
      <c r="H141" s="2">
        <v>525.79999999999995</v>
      </c>
      <c r="I141" s="2">
        <v>26290</v>
      </c>
      <c r="J141" s="2">
        <v>8157.7</v>
      </c>
    </row>
    <row r="142" spans="1:10" x14ac:dyDescent="0.3">
      <c r="A142" s="2" t="s">
        <v>150</v>
      </c>
      <c r="B142" s="3">
        <v>45779</v>
      </c>
      <c r="C142" s="2" t="s">
        <v>211</v>
      </c>
      <c r="D142" s="2" t="s">
        <v>214</v>
      </c>
      <c r="E142" s="2" t="s">
        <v>226</v>
      </c>
      <c r="F142" s="2" t="s">
        <v>243</v>
      </c>
      <c r="G142" s="2">
        <v>39</v>
      </c>
      <c r="H142" s="2">
        <v>750.62</v>
      </c>
      <c r="I142" s="2">
        <v>29274.18</v>
      </c>
      <c r="J142" s="2">
        <v>10129.16</v>
      </c>
    </row>
    <row r="143" spans="1:10" x14ac:dyDescent="0.3">
      <c r="A143" s="2" t="s">
        <v>151</v>
      </c>
      <c r="B143" s="3">
        <v>45810</v>
      </c>
      <c r="C143" s="2" t="s">
        <v>212</v>
      </c>
      <c r="D143" s="2" t="s">
        <v>219</v>
      </c>
      <c r="E143" s="2" t="s">
        <v>226</v>
      </c>
      <c r="F143" s="2" t="s">
        <v>240</v>
      </c>
      <c r="G143" s="2">
        <v>50</v>
      </c>
      <c r="H143" s="2">
        <v>223.74</v>
      </c>
      <c r="I143" s="2">
        <v>11187</v>
      </c>
      <c r="J143" s="2">
        <v>3201.29</v>
      </c>
    </row>
    <row r="144" spans="1:10" x14ac:dyDescent="0.3">
      <c r="A144" s="2" t="s">
        <v>152</v>
      </c>
      <c r="B144" s="3">
        <v>45798</v>
      </c>
      <c r="C144" s="2" t="s">
        <v>210</v>
      </c>
      <c r="D144" s="2" t="s">
        <v>215</v>
      </c>
      <c r="E144" s="2" t="s">
        <v>225</v>
      </c>
      <c r="F144" s="2" t="s">
        <v>230</v>
      </c>
      <c r="G144" s="2">
        <v>26</v>
      </c>
      <c r="H144" s="2">
        <v>683.37</v>
      </c>
      <c r="I144" s="2">
        <v>17767.62</v>
      </c>
      <c r="J144" s="2">
        <v>7073.39</v>
      </c>
    </row>
    <row r="145" spans="1:10" x14ac:dyDescent="0.3">
      <c r="A145" s="2" t="s">
        <v>153</v>
      </c>
      <c r="B145" s="3">
        <v>45690</v>
      </c>
      <c r="C145" s="2" t="s">
        <v>212</v>
      </c>
      <c r="D145" s="2" t="s">
        <v>222</v>
      </c>
      <c r="E145" s="2" t="s">
        <v>227</v>
      </c>
      <c r="F145" s="2" t="s">
        <v>241</v>
      </c>
      <c r="G145" s="2">
        <v>47</v>
      </c>
      <c r="H145" s="2">
        <v>237.54</v>
      </c>
      <c r="I145" s="2">
        <v>11164.38</v>
      </c>
      <c r="J145" s="2">
        <v>3223.64</v>
      </c>
    </row>
    <row r="146" spans="1:10" x14ac:dyDescent="0.3">
      <c r="A146" s="2" t="s">
        <v>154</v>
      </c>
      <c r="B146" s="3">
        <v>45707</v>
      </c>
      <c r="C146" s="2" t="s">
        <v>212</v>
      </c>
      <c r="D146" s="2" t="s">
        <v>219</v>
      </c>
      <c r="E146" s="2" t="s">
        <v>227</v>
      </c>
      <c r="F146" s="2" t="s">
        <v>239</v>
      </c>
      <c r="G146" s="2">
        <v>35</v>
      </c>
      <c r="H146" s="2">
        <v>488.82</v>
      </c>
      <c r="I146" s="2">
        <v>17108.7</v>
      </c>
      <c r="J146" s="2">
        <v>6389.53</v>
      </c>
    </row>
    <row r="147" spans="1:10" x14ac:dyDescent="0.3">
      <c r="A147" s="2" t="s">
        <v>155</v>
      </c>
      <c r="B147" s="3">
        <v>45721</v>
      </c>
      <c r="C147" s="2" t="s">
        <v>210</v>
      </c>
      <c r="D147" s="2" t="s">
        <v>217</v>
      </c>
      <c r="E147" s="2" t="s">
        <v>224</v>
      </c>
      <c r="F147" s="2" t="s">
        <v>228</v>
      </c>
      <c r="G147" s="2">
        <v>37</v>
      </c>
      <c r="H147" s="2">
        <v>642.39</v>
      </c>
      <c r="I147" s="2">
        <v>23768.43</v>
      </c>
      <c r="J147" s="2">
        <v>5132.38</v>
      </c>
    </row>
    <row r="148" spans="1:10" x14ac:dyDescent="0.3">
      <c r="A148" s="2" t="s">
        <v>156</v>
      </c>
      <c r="B148" s="3">
        <v>45751</v>
      </c>
      <c r="C148" s="2" t="s">
        <v>212</v>
      </c>
      <c r="D148" s="2" t="s">
        <v>214</v>
      </c>
      <c r="E148" s="2" t="s">
        <v>225</v>
      </c>
      <c r="F148" s="2" t="s">
        <v>235</v>
      </c>
      <c r="G148" s="2">
        <v>14</v>
      </c>
      <c r="H148" s="2">
        <v>217.18</v>
      </c>
      <c r="I148" s="2">
        <v>3040.52</v>
      </c>
      <c r="J148" s="2">
        <v>677.59</v>
      </c>
    </row>
    <row r="149" spans="1:10" x14ac:dyDescent="0.3">
      <c r="A149" s="2" t="s">
        <v>157</v>
      </c>
      <c r="B149" s="3">
        <v>45799</v>
      </c>
      <c r="C149" s="2" t="s">
        <v>212</v>
      </c>
      <c r="D149" s="2" t="s">
        <v>222</v>
      </c>
      <c r="E149" s="2" t="s">
        <v>225</v>
      </c>
      <c r="F149" s="2" t="s">
        <v>232</v>
      </c>
      <c r="G149" s="2">
        <v>38</v>
      </c>
      <c r="H149" s="2">
        <v>696.4</v>
      </c>
      <c r="I149" s="2">
        <v>26463.200000000001</v>
      </c>
      <c r="J149" s="2">
        <v>4448.8</v>
      </c>
    </row>
    <row r="150" spans="1:10" x14ac:dyDescent="0.3">
      <c r="A150" s="2" t="s">
        <v>158</v>
      </c>
      <c r="B150" s="3">
        <v>45857</v>
      </c>
      <c r="C150" s="2" t="s">
        <v>213</v>
      </c>
      <c r="D150" s="2" t="s">
        <v>215</v>
      </c>
      <c r="E150" s="2" t="s">
        <v>225</v>
      </c>
      <c r="F150" s="2" t="s">
        <v>230</v>
      </c>
      <c r="G150" s="2">
        <v>43</v>
      </c>
      <c r="H150" s="2">
        <v>140.04</v>
      </c>
      <c r="I150" s="2">
        <v>6021.72</v>
      </c>
      <c r="J150" s="2">
        <v>2404.8000000000002</v>
      </c>
    </row>
    <row r="151" spans="1:10" x14ac:dyDescent="0.3">
      <c r="A151" s="2" t="s">
        <v>159</v>
      </c>
      <c r="B151" s="3">
        <v>45778</v>
      </c>
      <c r="C151" s="2" t="s">
        <v>211</v>
      </c>
      <c r="D151" s="2" t="s">
        <v>219</v>
      </c>
      <c r="E151" s="2" t="s">
        <v>227</v>
      </c>
      <c r="F151" s="2" t="s">
        <v>238</v>
      </c>
      <c r="G151" s="2">
        <v>30</v>
      </c>
      <c r="H151" s="2">
        <v>726.45</v>
      </c>
      <c r="I151" s="2">
        <v>21793.5</v>
      </c>
      <c r="J151" s="2">
        <v>8579.66</v>
      </c>
    </row>
    <row r="152" spans="1:10" x14ac:dyDescent="0.3">
      <c r="A152" s="2" t="s">
        <v>160</v>
      </c>
      <c r="B152" s="3">
        <v>45858</v>
      </c>
      <c r="C152" s="2" t="s">
        <v>213</v>
      </c>
      <c r="D152" s="2" t="s">
        <v>215</v>
      </c>
      <c r="E152" s="2" t="s">
        <v>227</v>
      </c>
      <c r="F152" s="2" t="s">
        <v>239</v>
      </c>
      <c r="G152" s="2">
        <v>49</v>
      </c>
      <c r="H152" s="2">
        <v>994.93</v>
      </c>
      <c r="I152" s="2">
        <v>48751.57</v>
      </c>
      <c r="J152" s="2">
        <v>6839.89</v>
      </c>
    </row>
    <row r="153" spans="1:10" x14ac:dyDescent="0.3">
      <c r="A153" s="2" t="s">
        <v>161</v>
      </c>
      <c r="B153" s="3">
        <v>45858</v>
      </c>
      <c r="C153" s="2" t="s">
        <v>213</v>
      </c>
      <c r="D153" s="2" t="s">
        <v>216</v>
      </c>
      <c r="E153" s="2" t="s">
        <v>224</v>
      </c>
      <c r="F153" s="2" t="s">
        <v>228</v>
      </c>
      <c r="G153" s="2">
        <v>32</v>
      </c>
      <c r="H153" s="2">
        <v>351.84</v>
      </c>
      <c r="I153" s="2">
        <v>11258.88</v>
      </c>
      <c r="J153" s="2">
        <v>4146.3599999999997</v>
      </c>
    </row>
    <row r="154" spans="1:10" x14ac:dyDescent="0.3">
      <c r="A154" s="2" t="s">
        <v>162</v>
      </c>
      <c r="B154" s="3">
        <v>45696</v>
      </c>
      <c r="C154" s="2" t="s">
        <v>212</v>
      </c>
      <c r="D154" s="2" t="s">
        <v>218</v>
      </c>
      <c r="E154" s="2" t="s">
        <v>224</v>
      </c>
      <c r="F154" s="2" t="s">
        <v>233</v>
      </c>
      <c r="G154" s="2">
        <v>28</v>
      </c>
      <c r="H154" s="2">
        <v>409.77</v>
      </c>
      <c r="I154" s="2">
        <v>11473.56</v>
      </c>
      <c r="J154" s="2">
        <v>3852.24</v>
      </c>
    </row>
    <row r="155" spans="1:10" x14ac:dyDescent="0.3">
      <c r="A155" s="2" t="s">
        <v>163</v>
      </c>
      <c r="B155" s="3">
        <v>45824</v>
      </c>
      <c r="C155" s="2" t="s">
        <v>210</v>
      </c>
      <c r="D155" s="2" t="s">
        <v>221</v>
      </c>
      <c r="E155" s="2" t="s">
        <v>224</v>
      </c>
      <c r="F155" s="2" t="s">
        <v>237</v>
      </c>
      <c r="G155" s="2">
        <v>32</v>
      </c>
      <c r="H155" s="2">
        <v>832.97</v>
      </c>
      <c r="I155" s="2">
        <v>26655.040000000001</v>
      </c>
      <c r="J155" s="2">
        <v>4712.99</v>
      </c>
    </row>
    <row r="156" spans="1:10" x14ac:dyDescent="0.3">
      <c r="A156" s="2" t="s">
        <v>164</v>
      </c>
      <c r="B156" s="3">
        <v>45792</v>
      </c>
      <c r="C156" s="2" t="s">
        <v>210</v>
      </c>
      <c r="D156" s="2" t="s">
        <v>223</v>
      </c>
      <c r="E156" s="2" t="s">
        <v>224</v>
      </c>
      <c r="F156" s="2" t="s">
        <v>228</v>
      </c>
      <c r="G156" s="2">
        <v>27</v>
      </c>
      <c r="H156" s="2">
        <v>261.95999999999998</v>
      </c>
      <c r="I156" s="2">
        <v>7072.92</v>
      </c>
      <c r="J156" s="2">
        <v>2573.1</v>
      </c>
    </row>
    <row r="157" spans="1:10" x14ac:dyDescent="0.3">
      <c r="A157" s="2" t="s">
        <v>165</v>
      </c>
      <c r="B157" s="3">
        <v>45826</v>
      </c>
      <c r="C157" s="2" t="s">
        <v>210</v>
      </c>
      <c r="D157" s="2" t="s">
        <v>216</v>
      </c>
      <c r="E157" s="2" t="s">
        <v>226</v>
      </c>
      <c r="F157" s="2" t="s">
        <v>243</v>
      </c>
      <c r="G157" s="2">
        <v>23</v>
      </c>
      <c r="H157" s="2">
        <v>543.52</v>
      </c>
      <c r="I157" s="2">
        <v>12500.96</v>
      </c>
      <c r="J157" s="2">
        <v>2968.8</v>
      </c>
    </row>
    <row r="158" spans="1:10" x14ac:dyDescent="0.3">
      <c r="A158" s="2" t="s">
        <v>166</v>
      </c>
      <c r="B158" s="3">
        <v>45838</v>
      </c>
      <c r="C158" s="2" t="s">
        <v>211</v>
      </c>
      <c r="D158" s="2" t="s">
        <v>220</v>
      </c>
      <c r="E158" s="2" t="s">
        <v>225</v>
      </c>
      <c r="F158" s="2" t="s">
        <v>232</v>
      </c>
      <c r="G158" s="2">
        <v>17</v>
      </c>
      <c r="H158" s="2">
        <v>795.34</v>
      </c>
      <c r="I158" s="2">
        <v>13520.78</v>
      </c>
      <c r="J158" s="2">
        <v>4211.87</v>
      </c>
    </row>
    <row r="159" spans="1:10" x14ac:dyDescent="0.3">
      <c r="A159" s="2" t="s">
        <v>167</v>
      </c>
      <c r="B159" s="3">
        <v>45690</v>
      </c>
      <c r="C159" s="2" t="s">
        <v>212</v>
      </c>
      <c r="D159" s="2" t="s">
        <v>219</v>
      </c>
      <c r="E159" s="2" t="s">
        <v>226</v>
      </c>
      <c r="F159" s="2" t="s">
        <v>240</v>
      </c>
      <c r="G159" s="2">
        <v>28</v>
      </c>
      <c r="H159" s="2">
        <v>412.76</v>
      </c>
      <c r="I159" s="2">
        <v>11557.28</v>
      </c>
      <c r="J159" s="2">
        <v>4147.76</v>
      </c>
    </row>
    <row r="160" spans="1:10" x14ac:dyDescent="0.3">
      <c r="A160" s="2" t="s">
        <v>168</v>
      </c>
      <c r="B160" s="3">
        <v>45719</v>
      </c>
      <c r="C160" s="2" t="s">
        <v>212</v>
      </c>
      <c r="D160" s="2" t="s">
        <v>216</v>
      </c>
      <c r="E160" s="2" t="s">
        <v>227</v>
      </c>
      <c r="F160" s="2" t="s">
        <v>241</v>
      </c>
      <c r="G160" s="2">
        <v>46</v>
      </c>
      <c r="H160" s="2">
        <v>528.49</v>
      </c>
      <c r="I160" s="2">
        <v>24310.54</v>
      </c>
      <c r="J160" s="2">
        <v>3001.06</v>
      </c>
    </row>
    <row r="161" spans="1:10" x14ac:dyDescent="0.3">
      <c r="A161" s="2" t="s">
        <v>169</v>
      </c>
      <c r="B161" s="3">
        <v>45708</v>
      </c>
      <c r="C161" s="2" t="s">
        <v>211</v>
      </c>
      <c r="D161" s="2" t="s">
        <v>215</v>
      </c>
      <c r="E161" s="2" t="s">
        <v>224</v>
      </c>
      <c r="F161" s="2" t="s">
        <v>233</v>
      </c>
      <c r="G161" s="2">
        <v>26</v>
      </c>
      <c r="H161" s="2">
        <v>67.849999999999994</v>
      </c>
      <c r="I161" s="2">
        <v>1764.1</v>
      </c>
      <c r="J161" s="2">
        <v>600.5</v>
      </c>
    </row>
    <row r="162" spans="1:10" x14ac:dyDescent="0.3">
      <c r="A162" s="2" t="s">
        <v>170</v>
      </c>
      <c r="B162" s="3">
        <v>45761</v>
      </c>
      <c r="C162" s="2" t="s">
        <v>211</v>
      </c>
      <c r="D162" s="2" t="s">
        <v>217</v>
      </c>
      <c r="E162" s="2" t="s">
        <v>225</v>
      </c>
      <c r="F162" s="2" t="s">
        <v>229</v>
      </c>
      <c r="G162" s="2">
        <v>47</v>
      </c>
      <c r="H162" s="2">
        <v>200.57</v>
      </c>
      <c r="I162" s="2">
        <v>9426.7900000000009</v>
      </c>
      <c r="J162" s="2">
        <v>1035.5899999999999</v>
      </c>
    </row>
    <row r="163" spans="1:10" x14ac:dyDescent="0.3">
      <c r="A163" s="2" t="s">
        <v>171</v>
      </c>
      <c r="B163" s="3">
        <v>45809</v>
      </c>
      <c r="C163" s="2" t="s">
        <v>212</v>
      </c>
      <c r="D163" s="2" t="s">
        <v>220</v>
      </c>
      <c r="E163" s="2" t="s">
        <v>225</v>
      </c>
      <c r="F163" s="2" t="s">
        <v>230</v>
      </c>
      <c r="G163" s="2">
        <v>21</v>
      </c>
      <c r="H163" s="2">
        <v>940.49</v>
      </c>
      <c r="I163" s="2">
        <v>19750.29</v>
      </c>
      <c r="J163" s="2">
        <v>5312.92</v>
      </c>
    </row>
    <row r="164" spans="1:10" x14ac:dyDescent="0.3">
      <c r="A164" s="2" t="s">
        <v>172</v>
      </c>
      <c r="B164" s="3">
        <v>45749</v>
      </c>
      <c r="C164" s="2" t="s">
        <v>210</v>
      </c>
      <c r="D164" s="2" t="s">
        <v>221</v>
      </c>
      <c r="E164" s="2" t="s">
        <v>225</v>
      </c>
      <c r="F164" s="2" t="s">
        <v>235</v>
      </c>
      <c r="G164" s="2">
        <v>25</v>
      </c>
      <c r="H164" s="2">
        <v>367.22</v>
      </c>
      <c r="I164" s="2">
        <v>9180.5</v>
      </c>
      <c r="J164" s="2">
        <v>2173.3000000000002</v>
      </c>
    </row>
    <row r="165" spans="1:10" x14ac:dyDescent="0.3">
      <c r="A165" s="2" t="s">
        <v>173</v>
      </c>
      <c r="B165" s="3">
        <v>45749</v>
      </c>
      <c r="C165" s="2" t="s">
        <v>212</v>
      </c>
      <c r="D165" s="2" t="s">
        <v>221</v>
      </c>
      <c r="E165" s="2" t="s">
        <v>227</v>
      </c>
      <c r="F165" s="2" t="s">
        <v>241</v>
      </c>
      <c r="G165" s="2">
        <v>25</v>
      </c>
      <c r="H165" s="2">
        <v>955.76</v>
      </c>
      <c r="I165" s="2">
        <v>23894</v>
      </c>
      <c r="J165" s="2">
        <v>7913.23</v>
      </c>
    </row>
    <row r="166" spans="1:10" x14ac:dyDescent="0.3">
      <c r="A166" s="2" t="s">
        <v>174</v>
      </c>
      <c r="B166" s="3">
        <v>45818</v>
      </c>
      <c r="C166" s="2" t="s">
        <v>212</v>
      </c>
      <c r="D166" s="2" t="s">
        <v>219</v>
      </c>
      <c r="E166" s="2" t="s">
        <v>225</v>
      </c>
      <c r="F166" s="2" t="s">
        <v>235</v>
      </c>
      <c r="G166" s="2">
        <v>29</v>
      </c>
      <c r="H166" s="2">
        <v>191.78</v>
      </c>
      <c r="I166" s="2">
        <v>5561.62</v>
      </c>
      <c r="J166" s="2">
        <v>1265.57</v>
      </c>
    </row>
    <row r="167" spans="1:10" x14ac:dyDescent="0.3">
      <c r="A167" s="2" t="s">
        <v>175</v>
      </c>
      <c r="B167" s="3">
        <v>45703</v>
      </c>
      <c r="C167" s="2" t="s">
        <v>212</v>
      </c>
      <c r="D167" s="2" t="s">
        <v>220</v>
      </c>
      <c r="E167" s="2" t="s">
        <v>224</v>
      </c>
      <c r="F167" s="2" t="s">
        <v>237</v>
      </c>
      <c r="G167" s="2">
        <v>28</v>
      </c>
      <c r="H167" s="2">
        <v>586.41999999999996</v>
      </c>
      <c r="I167" s="2">
        <v>16419.759999999998</v>
      </c>
      <c r="J167" s="2">
        <v>3673.62</v>
      </c>
    </row>
    <row r="168" spans="1:10" x14ac:dyDescent="0.3">
      <c r="A168" s="2" t="s">
        <v>176</v>
      </c>
      <c r="B168" s="3">
        <v>45813</v>
      </c>
      <c r="C168" s="2" t="s">
        <v>211</v>
      </c>
      <c r="D168" s="2" t="s">
        <v>215</v>
      </c>
      <c r="E168" s="2" t="s">
        <v>226</v>
      </c>
      <c r="F168" s="2" t="s">
        <v>240</v>
      </c>
      <c r="G168" s="2">
        <v>30</v>
      </c>
      <c r="H168" s="2">
        <v>843.69</v>
      </c>
      <c r="I168" s="2">
        <v>25310.7</v>
      </c>
      <c r="J168" s="2">
        <v>3809.45</v>
      </c>
    </row>
    <row r="169" spans="1:10" x14ac:dyDescent="0.3">
      <c r="A169" s="2" t="s">
        <v>177</v>
      </c>
      <c r="B169" s="3">
        <v>45803</v>
      </c>
      <c r="C169" s="2" t="s">
        <v>212</v>
      </c>
      <c r="D169" s="2" t="s">
        <v>219</v>
      </c>
      <c r="E169" s="2" t="s">
        <v>226</v>
      </c>
      <c r="F169" s="2" t="s">
        <v>240</v>
      </c>
      <c r="G169" s="2">
        <v>38</v>
      </c>
      <c r="H169" s="2">
        <v>533.16</v>
      </c>
      <c r="I169" s="2">
        <v>20260.080000000002</v>
      </c>
      <c r="J169" s="2">
        <v>2966.52</v>
      </c>
    </row>
    <row r="170" spans="1:10" x14ac:dyDescent="0.3">
      <c r="A170" s="2" t="s">
        <v>178</v>
      </c>
      <c r="B170" s="3">
        <v>45869</v>
      </c>
      <c r="C170" s="2" t="s">
        <v>212</v>
      </c>
      <c r="D170" s="2" t="s">
        <v>217</v>
      </c>
      <c r="E170" s="2" t="s">
        <v>224</v>
      </c>
      <c r="F170" s="2" t="s">
        <v>228</v>
      </c>
      <c r="G170" s="2">
        <v>20</v>
      </c>
      <c r="H170" s="2">
        <v>370.67</v>
      </c>
      <c r="I170" s="2">
        <v>7413.4</v>
      </c>
      <c r="J170" s="2">
        <v>2745.48</v>
      </c>
    </row>
    <row r="171" spans="1:10" x14ac:dyDescent="0.3">
      <c r="A171" s="2" t="s">
        <v>179</v>
      </c>
      <c r="B171" s="3">
        <v>45815</v>
      </c>
      <c r="C171" s="2" t="s">
        <v>210</v>
      </c>
      <c r="D171" s="2" t="s">
        <v>220</v>
      </c>
      <c r="E171" s="2" t="s">
        <v>227</v>
      </c>
      <c r="F171" s="2" t="s">
        <v>238</v>
      </c>
      <c r="G171" s="2">
        <v>7</v>
      </c>
      <c r="H171" s="2">
        <v>173.16</v>
      </c>
      <c r="I171" s="2">
        <v>1212.1199999999999</v>
      </c>
      <c r="J171" s="2">
        <v>464.79</v>
      </c>
    </row>
    <row r="172" spans="1:10" x14ac:dyDescent="0.3">
      <c r="A172" s="2" t="s">
        <v>180</v>
      </c>
      <c r="B172" s="3">
        <v>45753</v>
      </c>
      <c r="C172" s="2" t="s">
        <v>212</v>
      </c>
      <c r="D172" s="2" t="s">
        <v>214</v>
      </c>
      <c r="E172" s="2" t="s">
        <v>227</v>
      </c>
      <c r="F172" s="2" t="s">
        <v>238</v>
      </c>
      <c r="G172" s="2">
        <v>3</v>
      </c>
      <c r="H172" s="2">
        <v>443.1</v>
      </c>
      <c r="I172" s="2">
        <v>1329.3</v>
      </c>
      <c r="J172" s="2">
        <v>211.95</v>
      </c>
    </row>
    <row r="173" spans="1:10" x14ac:dyDescent="0.3">
      <c r="A173" s="2" t="s">
        <v>181</v>
      </c>
      <c r="B173" s="3">
        <v>45857</v>
      </c>
      <c r="C173" s="2" t="s">
        <v>213</v>
      </c>
      <c r="D173" s="2" t="s">
        <v>216</v>
      </c>
      <c r="E173" s="2" t="s">
        <v>224</v>
      </c>
      <c r="F173" s="2" t="s">
        <v>233</v>
      </c>
      <c r="G173" s="2">
        <v>40</v>
      </c>
      <c r="H173" s="2">
        <v>880.5</v>
      </c>
      <c r="I173" s="2">
        <v>35220</v>
      </c>
      <c r="J173" s="2">
        <v>13974.64</v>
      </c>
    </row>
    <row r="174" spans="1:10" x14ac:dyDescent="0.3">
      <c r="A174" s="2" t="s">
        <v>182</v>
      </c>
      <c r="B174" s="3">
        <v>45696</v>
      </c>
      <c r="C174" s="2" t="s">
        <v>211</v>
      </c>
      <c r="D174" s="2" t="s">
        <v>216</v>
      </c>
      <c r="E174" s="2" t="s">
        <v>227</v>
      </c>
      <c r="F174" s="2" t="s">
        <v>234</v>
      </c>
      <c r="G174" s="2">
        <v>21</v>
      </c>
      <c r="H174" s="2">
        <v>434.88</v>
      </c>
      <c r="I174" s="2">
        <v>9132.48</v>
      </c>
      <c r="J174" s="2">
        <v>1277.31</v>
      </c>
    </row>
    <row r="175" spans="1:10" x14ac:dyDescent="0.3">
      <c r="A175" s="2" t="s">
        <v>183</v>
      </c>
      <c r="B175" s="3">
        <v>45801</v>
      </c>
      <c r="C175" s="2" t="s">
        <v>213</v>
      </c>
      <c r="D175" s="2" t="s">
        <v>222</v>
      </c>
      <c r="E175" s="2" t="s">
        <v>226</v>
      </c>
      <c r="F175" s="2" t="s">
        <v>243</v>
      </c>
      <c r="G175" s="2">
        <v>35</v>
      </c>
      <c r="H175" s="2">
        <v>290.39</v>
      </c>
      <c r="I175" s="2">
        <v>10163.65</v>
      </c>
      <c r="J175" s="2">
        <v>2463.1799999999998</v>
      </c>
    </row>
    <row r="176" spans="1:10" x14ac:dyDescent="0.3">
      <c r="A176" s="2" t="s">
        <v>184</v>
      </c>
      <c r="B176" s="3">
        <v>45752</v>
      </c>
      <c r="C176" s="2" t="s">
        <v>211</v>
      </c>
      <c r="D176" s="2" t="s">
        <v>220</v>
      </c>
      <c r="E176" s="2" t="s">
        <v>224</v>
      </c>
      <c r="F176" s="2" t="s">
        <v>242</v>
      </c>
      <c r="G176" s="2">
        <v>6</v>
      </c>
      <c r="H176" s="2">
        <v>576.29</v>
      </c>
      <c r="I176" s="2">
        <v>3457.74</v>
      </c>
      <c r="J176" s="2">
        <v>432.92</v>
      </c>
    </row>
    <row r="177" spans="1:10" x14ac:dyDescent="0.3">
      <c r="A177" s="2" t="s">
        <v>185</v>
      </c>
      <c r="B177" s="3">
        <v>45841</v>
      </c>
      <c r="C177" s="2" t="s">
        <v>212</v>
      </c>
      <c r="D177" s="2" t="s">
        <v>217</v>
      </c>
      <c r="E177" s="2" t="s">
        <v>225</v>
      </c>
      <c r="F177" s="2" t="s">
        <v>229</v>
      </c>
      <c r="G177" s="2">
        <v>46</v>
      </c>
      <c r="H177" s="2">
        <v>525.82000000000005</v>
      </c>
      <c r="I177" s="2">
        <v>24187.72</v>
      </c>
      <c r="J177" s="2">
        <v>9124.4500000000007</v>
      </c>
    </row>
    <row r="178" spans="1:10" x14ac:dyDescent="0.3">
      <c r="A178" s="2" t="s">
        <v>186</v>
      </c>
      <c r="B178" s="3">
        <v>45804</v>
      </c>
      <c r="C178" s="2" t="s">
        <v>210</v>
      </c>
      <c r="D178" s="2" t="s">
        <v>217</v>
      </c>
      <c r="E178" s="2" t="s">
        <v>225</v>
      </c>
      <c r="F178" s="2" t="s">
        <v>235</v>
      </c>
      <c r="G178" s="2">
        <v>13</v>
      </c>
      <c r="H178" s="2">
        <v>53.73</v>
      </c>
      <c r="I178" s="2">
        <v>698.49</v>
      </c>
      <c r="J178" s="2">
        <v>83.6</v>
      </c>
    </row>
    <row r="179" spans="1:10" x14ac:dyDescent="0.3">
      <c r="A179" s="2" t="s">
        <v>187</v>
      </c>
      <c r="B179" s="3">
        <v>45811</v>
      </c>
      <c r="C179" s="2" t="s">
        <v>213</v>
      </c>
      <c r="D179" s="2" t="s">
        <v>220</v>
      </c>
      <c r="E179" s="2" t="s">
        <v>226</v>
      </c>
      <c r="F179" s="2" t="s">
        <v>243</v>
      </c>
      <c r="G179" s="2">
        <v>28</v>
      </c>
      <c r="H179" s="2">
        <v>664.81</v>
      </c>
      <c r="I179" s="2">
        <v>18614.68</v>
      </c>
      <c r="J179" s="2">
        <v>4393.83</v>
      </c>
    </row>
    <row r="180" spans="1:10" x14ac:dyDescent="0.3">
      <c r="A180" s="2" t="s">
        <v>188</v>
      </c>
      <c r="B180" s="3">
        <v>45854</v>
      </c>
      <c r="C180" s="2" t="s">
        <v>212</v>
      </c>
      <c r="D180" s="2" t="s">
        <v>220</v>
      </c>
      <c r="E180" s="2" t="s">
        <v>227</v>
      </c>
      <c r="F180" s="2" t="s">
        <v>239</v>
      </c>
      <c r="G180" s="2">
        <v>18</v>
      </c>
      <c r="H180" s="2">
        <v>895.99</v>
      </c>
      <c r="I180" s="2">
        <v>16127.82</v>
      </c>
      <c r="J180" s="2">
        <v>4165.88</v>
      </c>
    </row>
    <row r="181" spans="1:10" x14ac:dyDescent="0.3">
      <c r="A181" s="2" t="s">
        <v>189</v>
      </c>
      <c r="B181" s="3">
        <v>45778</v>
      </c>
      <c r="C181" s="2" t="s">
        <v>213</v>
      </c>
      <c r="D181" s="2" t="s">
        <v>222</v>
      </c>
      <c r="E181" s="2" t="s">
        <v>227</v>
      </c>
      <c r="F181" s="2" t="s">
        <v>239</v>
      </c>
      <c r="G181" s="2">
        <v>44</v>
      </c>
      <c r="H181" s="2">
        <v>265.91000000000003</v>
      </c>
      <c r="I181" s="2">
        <v>11700.04</v>
      </c>
      <c r="J181" s="2">
        <v>3136.49</v>
      </c>
    </row>
    <row r="182" spans="1:10" x14ac:dyDescent="0.3">
      <c r="A182" s="2" t="s">
        <v>190</v>
      </c>
      <c r="B182" s="3">
        <v>45850</v>
      </c>
      <c r="C182" s="2" t="s">
        <v>210</v>
      </c>
      <c r="D182" s="2" t="s">
        <v>222</v>
      </c>
      <c r="E182" s="2" t="s">
        <v>224</v>
      </c>
      <c r="F182" s="2" t="s">
        <v>242</v>
      </c>
      <c r="G182" s="2">
        <v>9</v>
      </c>
      <c r="H182" s="2">
        <v>734.89</v>
      </c>
      <c r="I182" s="2">
        <v>6614.01</v>
      </c>
      <c r="J182" s="2">
        <v>1033.55</v>
      </c>
    </row>
    <row r="183" spans="1:10" x14ac:dyDescent="0.3">
      <c r="A183" s="2" t="s">
        <v>191</v>
      </c>
      <c r="B183" s="3">
        <v>45858</v>
      </c>
      <c r="C183" s="2" t="s">
        <v>210</v>
      </c>
      <c r="D183" s="2" t="s">
        <v>221</v>
      </c>
      <c r="E183" s="2" t="s">
        <v>226</v>
      </c>
      <c r="F183" s="2" t="s">
        <v>243</v>
      </c>
      <c r="G183" s="2">
        <v>10</v>
      </c>
      <c r="H183" s="2">
        <v>606.97</v>
      </c>
      <c r="I183" s="2">
        <v>6069.7</v>
      </c>
      <c r="J183" s="2">
        <v>2315.41</v>
      </c>
    </row>
    <row r="184" spans="1:10" x14ac:dyDescent="0.3">
      <c r="A184" s="2" t="s">
        <v>192</v>
      </c>
      <c r="B184" s="3">
        <v>45762</v>
      </c>
      <c r="C184" s="2" t="s">
        <v>212</v>
      </c>
      <c r="D184" s="2" t="s">
        <v>222</v>
      </c>
      <c r="E184" s="2" t="s">
        <v>224</v>
      </c>
      <c r="F184" s="2" t="s">
        <v>242</v>
      </c>
      <c r="G184" s="2">
        <v>4</v>
      </c>
      <c r="H184" s="2">
        <v>199.49</v>
      </c>
      <c r="I184" s="2">
        <v>797.96</v>
      </c>
      <c r="J184" s="2">
        <v>158.01</v>
      </c>
    </row>
    <row r="185" spans="1:10" x14ac:dyDescent="0.3">
      <c r="A185" s="2" t="s">
        <v>193</v>
      </c>
      <c r="B185" s="3">
        <v>45778</v>
      </c>
      <c r="C185" s="2" t="s">
        <v>210</v>
      </c>
      <c r="D185" s="2" t="s">
        <v>217</v>
      </c>
      <c r="E185" s="2" t="s">
        <v>224</v>
      </c>
      <c r="F185" s="2" t="s">
        <v>237</v>
      </c>
      <c r="G185" s="2">
        <v>33</v>
      </c>
      <c r="H185" s="2">
        <v>835.59</v>
      </c>
      <c r="I185" s="2">
        <v>27574.47</v>
      </c>
      <c r="J185" s="2">
        <v>8446.56</v>
      </c>
    </row>
    <row r="186" spans="1:10" x14ac:dyDescent="0.3">
      <c r="A186" s="2" t="s">
        <v>194</v>
      </c>
      <c r="B186" s="3">
        <v>45751</v>
      </c>
      <c r="C186" s="2" t="s">
        <v>213</v>
      </c>
      <c r="D186" s="2" t="s">
        <v>216</v>
      </c>
      <c r="E186" s="2" t="s">
        <v>224</v>
      </c>
      <c r="F186" s="2" t="s">
        <v>242</v>
      </c>
      <c r="G186" s="2">
        <v>45</v>
      </c>
      <c r="H186" s="2">
        <v>829.36</v>
      </c>
      <c r="I186" s="2">
        <v>37321.199999999997</v>
      </c>
      <c r="J186" s="2">
        <v>11792.01</v>
      </c>
    </row>
    <row r="187" spans="1:10" x14ac:dyDescent="0.3">
      <c r="A187" s="2" t="s">
        <v>195</v>
      </c>
      <c r="B187" s="3">
        <v>45808</v>
      </c>
      <c r="C187" s="2" t="s">
        <v>212</v>
      </c>
      <c r="D187" s="2" t="s">
        <v>217</v>
      </c>
      <c r="E187" s="2" t="s">
        <v>225</v>
      </c>
      <c r="F187" s="2" t="s">
        <v>230</v>
      </c>
      <c r="G187" s="2">
        <v>27</v>
      </c>
      <c r="H187" s="2">
        <v>174.96</v>
      </c>
      <c r="I187" s="2">
        <v>4723.92</v>
      </c>
      <c r="J187" s="2">
        <v>595.08000000000004</v>
      </c>
    </row>
    <row r="188" spans="1:10" x14ac:dyDescent="0.3">
      <c r="A188" s="2" t="s">
        <v>196</v>
      </c>
      <c r="B188" s="3">
        <v>45777</v>
      </c>
      <c r="C188" s="2" t="s">
        <v>211</v>
      </c>
      <c r="D188" s="2" t="s">
        <v>219</v>
      </c>
      <c r="E188" s="2" t="s">
        <v>225</v>
      </c>
      <c r="F188" s="2" t="s">
        <v>229</v>
      </c>
      <c r="G188" s="2">
        <v>25</v>
      </c>
      <c r="H188" s="2">
        <v>844.55</v>
      </c>
      <c r="I188" s="2">
        <v>21113.75</v>
      </c>
      <c r="J188" s="2">
        <v>4913.1099999999997</v>
      </c>
    </row>
    <row r="189" spans="1:10" x14ac:dyDescent="0.3">
      <c r="A189" s="2" t="s">
        <v>197</v>
      </c>
      <c r="B189" s="3">
        <v>45849</v>
      </c>
      <c r="C189" s="2" t="s">
        <v>210</v>
      </c>
      <c r="D189" s="2" t="s">
        <v>222</v>
      </c>
      <c r="E189" s="2" t="s">
        <v>227</v>
      </c>
      <c r="F189" s="2" t="s">
        <v>234</v>
      </c>
      <c r="G189" s="2">
        <v>9</v>
      </c>
      <c r="H189" s="2">
        <v>522.74</v>
      </c>
      <c r="I189" s="2">
        <v>4704.66</v>
      </c>
      <c r="J189" s="2">
        <v>1344.2</v>
      </c>
    </row>
    <row r="190" spans="1:10" x14ac:dyDescent="0.3">
      <c r="A190" s="2" t="s">
        <v>198</v>
      </c>
      <c r="B190" s="3">
        <v>45865</v>
      </c>
      <c r="C190" s="2" t="s">
        <v>210</v>
      </c>
      <c r="D190" s="2" t="s">
        <v>221</v>
      </c>
      <c r="E190" s="2" t="s">
        <v>226</v>
      </c>
      <c r="F190" s="2" t="s">
        <v>236</v>
      </c>
      <c r="G190" s="2">
        <v>27</v>
      </c>
      <c r="H190" s="2">
        <v>208.96</v>
      </c>
      <c r="I190" s="2">
        <v>5641.92</v>
      </c>
      <c r="J190" s="2">
        <v>737.93</v>
      </c>
    </row>
    <row r="191" spans="1:10" x14ac:dyDescent="0.3">
      <c r="A191" s="2" t="s">
        <v>199</v>
      </c>
      <c r="B191" s="3">
        <v>45860</v>
      </c>
      <c r="C191" s="2" t="s">
        <v>211</v>
      </c>
      <c r="D191" s="2" t="s">
        <v>220</v>
      </c>
      <c r="E191" s="2" t="s">
        <v>226</v>
      </c>
      <c r="F191" s="2" t="s">
        <v>243</v>
      </c>
      <c r="G191" s="2">
        <v>4</v>
      </c>
      <c r="H191" s="2">
        <v>600.57000000000005</v>
      </c>
      <c r="I191" s="2">
        <v>2402.2800000000002</v>
      </c>
      <c r="J191" s="2">
        <v>685.64</v>
      </c>
    </row>
    <row r="192" spans="1:10" x14ac:dyDescent="0.3">
      <c r="A192" s="2" t="s">
        <v>200</v>
      </c>
      <c r="B192" s="3">
        <v>45755</v>
      </c>
      <c r="C192" s="2" t="s">
        <v>211</v>
      </c>
      <c r="D192" s="2" t="s">
        <v>223</v>
      </c>
      <c r="E192" s="2" t="s">
        <v>227</v>
      </c>
      <c r="F192" s="2" t="s">
        <v>241</v>
      </c>
      <c r="G192" s="2">
        <v>25</v>
      </c>
      <c r="H192" s="2">
        <v>661.2</v>
      </c>
      <c r="I192" s="2">
        <v>16530</v>
      </c>
      <c r="J192" s="2">
        <v>6152.33</v>
      </c>
    </row>
    <row r="193" spans="1:10" x14ac:dyDescent="0.3">
      <c r="A193" s="2" t="s">
        <v>201</v>
      </c>
      <c r="B193" s="3">
        <v>45743</v>
      </c>
      <c r="C193" s="2" t="s">
        <v>210</v>
      </c>
      <c r="D193" s="2" t="s">
        <v>217</v>
      </c>
      <c r="E193" s="2" t="s">
        <v>227</v>
      </c>
      <c r="F193" s="2" t="s">
        <v>238</v>
      </c>
      <c r="G193" s="2">
        <v>10</v>
      </c>
      <c r="H193" s="2">
        <v>303.91000000000003</v>
      </c>
      <c r="I193" s="2">
        <v>3039.1</v>
      </c>
      <c r="J193" s="2">
        <v>557.45000000000005</v>
      </c>
    </row>
    <row r="194" spans="1:10" x14ac:dyDescent="0.3">
      <c r="A194" s="2" t="s">
        <v>202</v>
      </c>
      <c r="B194" s="3">
        <v>45705</v>
      </c>
      <c r="C194" s="2" t="s">
        <v>211</v>
      </c>
      <c r="D194" s="2" t="s">
        <v>219</v>
      </c>
      <c r="E194" s="2" t="s">
        <v>227</v>
      </c>
      <c r="F194" s="2" t="s">
        <v>234</v>
      </c>
      <c r="G194" s="2">
        <v>42</v>
      </c>
      <c r="H194" s="2">
        <v>155.33000000000001</v>
      </c>
      <c r="I194" s="2">
        <v>6523.86</v>
      </c>
      <c r="J194" s="2">
        <v>1136.8499999999999</v>
      </c>
    </row>
    <row r="195" spans="1:10" x14ac:dyDescent="0.3">
      <c r="A195" s="2" t="s">
        <v>203</v>
      </c>
      <c r="B195" s="3">
        <v>45754</v>
      </c>
      <c r="C195" s="2" t="s">
        <v>210</v>
      </c>
      <c r="D195" s="2" t="s">
        <v>221</v>
      </c>
      <c r="E195" s="2" t="s">
        <v>224</v>
      </c>
      <c r="F195" s="2" t="s">
        <v>228</v>
      </c>
      <c r="G195" s="2">
        <v>38</v>
      </c>
      <c r="H195" s="2">
        <v>489.26</v>
      </c>
      <c r="I195" s="2">
        <v>18591.88</v>
      </c>
      <c r="J195" s="2">
        <v>5552.81</v>
      </c>
    </row>
    <row r="196" spans="1:10" x14ac:dyDescent="0.3">
      <c r="A196" s="2" t="s">
        <v>204</v>
      </c>
      <c r="B196" s="3">
        <v>45842</v>
      </c>
      <c r="C196" s="2" t="s">
        <v>210</v>
      </c>
      <c r="D196" s="2" t="s">
        <v>221</v>
      </c>
      <c r="E196" s="2" t="s">
        <v>227</v>
      </c>
      <c r="F196" s="2" t="s">
        <v>241</v>
      </c>
      <c r="G196" s="2">
        <v>36</v>
      </c>
      <c r="H196" s="2">
        <v>424.16</v>
      </c>
      <c r="I196" s="2">
        <v>15269.76</v>
      </c>
      <c r="J196" s="2">
        <v>2592.58</v>
      </c>
    </row>
    <row r="197" spans="1:10" x14ac:dyDescent="0.3">
      <c r="A197" s="2" t="s">
        <v>205</v>
      </c>
      <c r="B197" s="3">
        <v>45825</v>
      </c>
      <c r="C197" s="2" t="s">
        <v>213</v>
      </c>
      <c r="D197" s="2" t="s">
        <v>223</v>
      </c>
      <c r="E197" s="2" t="s">
        <v>225</v>
      </c>
      <c r="F197" s="2" t="s">
        <v>232</v>
      </c>
      <c r="G197" s="2">
        <v>31</v>
      </c>
      <c r="H197" s="2">
        <v>815.51</v>
      </c>
      <c r="I197" s="2">
        <v>25280.81</v>
      </c>
      <c r="J197" s="2">
        <v>8069.92</v>
      </c>
    </row>
    <row r="198" spans="1:10" x14ac:dyDescent="0.3">
      <c r="A198" s="2" t="s">
        <v>206</v>
      </c>
      <c r="B198" s="3">
        <v>45732</v>
      </c>
      <c r="C198" s="2" t="s">
        <v>212</v>
      </c>
      <c r="D198" s="2" t="s">
        <v>220</v>
      </c>
      <c r="E198" s="2" t="s">
        <v>225</v>
      </c>
      <c r="F198" s="2" t="s">
        <v>232</v>
      </c>
      <c r="G198" s="2">
        <v>17</v>
      </c>
      <c r="H198" s="2">
        <v>765.27</v>
      </c>
      <c r="I198" s="2">
        <v>13009.59</v>
      </c>
      <c r="J198" s="2">
        <v>3955.53</v>
      </c>
    </row>
    <row r="199" spans="1:10" x14ac:dyDescent="0.3">
      <c r="A199" s="2" t="s">
        <v>207</v>
      </c>
      <c r="B199" s="3">
        <v>45795</v>
      </c>
      <c r="C199" s="2" t="s">
        <v>212</v>
      </c>
      <c r="D199" s="2" t="s">
        <v>216</v>
      </c>
      <c r="E199" s="2" t="s">
        <v>226</v>
      </c>
      <c r="F199" s="2" t="s">
        <v>240</v>
      </c>
      <c r="G199" s="2">
        <v>29</v>
      </c>
      <c r="H199" s="2">
        <v>85.85</v>
      </c>
      <c r="I199" s="2">
        <v>2489.65</v>
      </c>
      <c r="J199" s="2">
        <v>726.57</v>
      </c>
    </row>
    <row r="200" spans="1:10" x14ac:dyDescent="0.3">
      <c r="A200" s="2" t="s">
        <v>208</v>
      </c>
      <c r="B200" s="3">
        <v>45843</v>
      </c>
      <c r="C200" s="2" t="s">
        <v>210</v>
      </c>
      <c r="D200" s="2" t="s">
        <v>223</v>
      </c>
      <c r="E200" s="2" t="s">
        <v>226</v>
      </c>
      <c r="F200" s="2" t="s">
        <v>236</v>
      </c>
      <c r="G200" s="2">
        <v>5</v>
      </c>
      <c r="H200" s="2">
        <v>36.76</v>
      </c>
      <c r="I200" s="2">
        <v>183.8</v>
      </c>
      <c r="J200" s="2">
        <v>60.38</v>
      </c>
    </row>
    <row r="201" spans="1:10" x14ac:dyDescent="0.3">
      <c r="A201" s="2" t="s">
        <v>209</v>
      </c>
      <c r="B201" s="3">
        <v>45703</v>
      </c>
      <c r="C201" s="2" t="s">
        <v>211</v>
      </c>
      <c r="D201" s="2" t="s">
        <v>217</v>
      </c>
      <c r="E201" s="2" t="s">
        <v>226</v>
      </c>
      <c r="F201" s="2" t="s">
        <v>243</v>
      </c>
      <c r="G201" s="2">
        <v>45</v>
      </c>
      <c r="H201" s="2">
        <v>625.16999999999996</v>
      </c>
      <c r="I201" s="2">
        <v>28132.65</v>
      </c>
      <c r="J201" s="2">
        <v>8861.4599999999991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N</dc:creator>
  <cp:lastModifiedBy>PRAVEEN N</cp:lastModifiedBy>
  <dcterms:created xsi:type="dcterms:W3CDTF">2025-08-02T10:20:20Z</dcterms:created>
  <dcterms:modified xsi:type="dcterms:W3CDTF">2025-08-06T05:08:47Z</dcterms:modified>
</cp:coreProperties>
</file>